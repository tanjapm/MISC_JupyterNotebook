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nja\Documents\PolyMTL\Paper_Publications\2018_Dublin\Conference\Poster_Dublin\"/>
    </mc:Choice>
  </mc:AlternateContent>
  <xr:revisionPtr revIDLastSave="0" documentId="13_ncr:1_{BBC5F409-CA51-4B7F-9930-0677DCD710CB}" xr6:coauthVersionLast="34" xr6:coauthVersionMax="34" xr10:uidLastSave="{00000000-0000-0000-0000-000000000000}"/>
  <bookViews>
    <workbookView xWindow="0" yWindow="0" windowWidth="21576" windowHeight="8472" activeTab="2" xr2:uid="{00000000-000D-0000-FFFF-FFFF00000000}"/>
  </bookViews>
  <sheets>
    <sheet name="ALL DATA QUENCHED" sheetId="40" r:id="rId1"/>
    <sheet name="Feuil1" sheetId="39" r:id="rId2"/>
    <sheet name="ALL DATA" sheetId="34" r:id="rId3"/>
    <sheet name="Normalized Data" sheetId="38" r:id="rId4"/>
    <sheet name="ALL DATA QUENCHED for SciTech" sheetId="41" r:id="rId5"/>
    <sheet name="ALL DATA QUENCHED for CJCW2018" sheetId="42" r:id="rId6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4" i="39" l="1"/>
  <c r="G11" i="42" l="1"/>
  <c r="H11" i="42" s="1"/>
  <c r="F11" i="42"/>
  <c r="G10" i="42"/>
  <c r="H10" i="42" s="1"/>
  <c r="F10" i="42"/>
  <c r="G9" i="42"/>
  <c r="H9" i="42" s="1"/>
  <c r="F9" i="42"/>
  <c r="G8" i="42"/>
  <c r="H8" i="42" s="1"/>
  <c r="F8" i="42"/>
  <c r="G7" i="42"/>
  <c r="H7" i="42" s="1"/>
  <c r="F7" i="42"/>
  <c r="G6" i="42"/>
  <c r="H6" i="42" s="1"/>
  <c r="F6" i="42"/>
  <c r="G5" i="42"/>
  <c r="H5" i="42" s="1"/>
  <c r="F5" i="42"/>
  <c r="G4" i="42"/>
  <c r="H4" i="42" s="1"/>
  <c r="F4" i="42"/>
  <c r="G3" i="42"/>
  <c r="H3" i="42" s="1"/>
  <c r="F3" i="42"/>
  <c r="G2" i="42"/>
  <c r="H2" i="42" s="1"/>
  <c r="F2" i="42"/>
  <c r="G1" i="42"/>
  <c r="H1" i="42" s="1"/>
  <c r="F1" i="42"/>
  <c r="G2" i="40" l="1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" i="40"/>
  <c r="G11" i="41"/>
  <c r="G10" i="41"/>
  <c r="G9" i="41"/>
  <c r="G8" i="41"/>
  <c r="G7" i="41"/>
  <c r="G6" i="41"/>
  <c r="G5" i="41"/>
  <c r="G4" i="41"/>
  <c r="G3" i="41"/>
  <c r="G2" i="41"/>
  <c r="G1" i="41"/>
  <c r="F11" i="41" l="1"/>
  <c r="F10" i="41"/>
  <c r="F9" i="41"/>
  <c r="F8" i="41"/>
  <c r="F7" i="41"/>
  <c r="F6" i="41"/>
  <c r="F5" i="41"/>
  <c r="F4" i="41"/>
  <c r="F3" i="41"/>
  <c r="F2" i="41"/>
  <c r="F1" i="41"/>
  <c r="F2" i="40" l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" i="40"/>
  <c r="H52" i="39"/>
  <c r="H51" i="39"/>
  <c r="H50" i="39"/>
  <c r="H49" i="39"/>
  <c r="H48" i="39"/>
  <c r="H47" i="39"/>
  <c r="H46" i="39"/>
  <c r="H45" i="39"/>
  <c r="H44" i="39"/>
  <c r="H43" i="39"/>
  <c r="H42" i="39"/>
  <c r="H41" i="39"/>
  <c r="F41" i="39"/>
  <c r="I41" i="39" s="1"/>
  <c r="F42" i="39"/>
  <c r="I42" i="39" s="1"/>
  <c r="F43" i="39"/>
  <c r="I43" i="39" s="1"/>
  <c r="F44" i="39"/>
  <c r="I44" i="39" s="1"/>
  <c r="F45" i="39"/>
  <c r="I45" i="39" s="1"/>
  <c r="F46" i="39"/>
  <c r="I46" i="39" s="1"/>
  <c r="F47" i="39"/>
  <c r="I47" i="39" s="1"/>
  <c r="F48" i="39"/>
  <c r="I48" i="39" s="1"/>
  <c r="F49" i="39"/>
  <c r="I49" i="39" s="1"/>
  <c r="F50" i="39"/>
  <c r="I50" i="39" s="1"/>
  <c r="F51" i="39"/>
  <c r="I51" i="39" s="1"/>
  <c r="F52" i="39"/>
  <c r="I52" i="39" s="1"/>
  <c r="H2" i="39"/>
  <c r="E4" i="39"/>
  <c r="E3" i="39"/>
  <c r="E2" i="39"/>
  <c r="D4" i="39"/>
  <c r="F4" i="39" s="1"/>
  <c r="I4" i="39" s="1"/>
  <c r="D3" i="39"/>
  <c r="F3" i="39" s="1"/>
  <c r="I3" i="39" s="1"/>
  <c r="D2" i="39"/>
  <c r="F40" i="39"/>
  <c r="I40" i="39" s="1"/>
  <c r="F39" i="39"/>
  <c r="I39" i="39" s="1"/>
  <c r="F38" i="39"/>
  <c r="I38" i="39" s="1"/>
  <c r="F37" i="39"/>
  <c r="F36" i="39"/>
  <c r="I36" i="39" s="1"/>
  <c r="F35" i="39"/>
  <c r="I35" i="39" s="1"/>
  <c r="F34" i="39"/>
  <c r="I34" i="39" s="1"/>
  <c r="F33" i="39"/>
  <c r="I33" i="39" s="1"/>
  <c r="F32" i="39"/>
  <c r="I32" i="39" s="1"/>
  <c r="F31" i="39"/>
  <c r="I31" i="39" s="1"/>
  <c r="F30" i="39"/>
  <c r="I30" i="39" s="1"/>
  <c r="F29" i="39"/>
  <c r="I29" i="39" s="1"/>
  <c r="F28" i="39"/>
  <c r="I28" i="39" s="1"/>
  <c r="F27" i="39"/>
  <c r="I27" i="39" s="1"/>
  <c r="F26" i="39"/>
  <c r="I26" i="39" s="1"/>
  <c r="F25" i="39"/>
  <c r="I25" i="39" s="1"/>
  <c r="F24" i="39"/>
  <c r="I24" i="39" s="1"/>
  <c r="F23" i="39"/>
  <c r="I23" i="39" s="1"/>
  <c r="F22" i="39"/>
  <c r="I22" i="39" s="1"/>
  <c r="F21" i="39"/>
  <c r="I21" i="39" s="1"/>
  <c r="F20" i="39"/>
  <c r="I20" i="39" s="1"/>
  <c r="F19" i="39"/>
  <c r="I19" i="39" s="1"/>
  <c r="F18" i="39"/>
  <c r="I18" i="39" s="1"/>
  <c r="F17" i="39"/>
  <c r="I17" i="39" s="1"/>
  <c r="F16" i="39"/>
  <c r="I16" i="39" s="1"/>
  <c r="F15" i="39"/>
  <c r="I15" i="39" s="1"/>
  <c r="F14" i="39"/>
  <c r="I14" i="39" s="1"/>
  <c r="F13" i="39"/>
  <c r="I13" i="39" s="1"/>
  <c r="F12" i="39"/>
  <c r="I12" i="39" s="1"/>
  <c r="F11" i="39"/>
  <c r="I11" i="39" s="1"/>
  <c r="F6" i="39"/>
  <c r="I6" i="39" s="1"/>
  <c r="F7" i="39"/>
  <c r="I7" i="39" s="1"/>
  <c r="F8" i="39"/>
  <c r="I8" i="39" s="1"/>
  <c r="F9" i="39"/>
  <c r="I9" i="39" s="1"/>
  <c r="F10" i="39"/>
  <c r="I10" i="39" s="1"/>
  <c r="F5" i="39"/>
  <c r="I5" i="39" s="1"/>
  <c r="K38" i="39" l="1"/>
  <c r="I37" i="39"/>
  <c r="F2" i="39"/>
  <c r="I2" i="39" s="1"/>
  <c r="K46" i="39"/>
  <c r="K45" i="39"/>
  <c r="K52" i="39"/>
  <c r="K51" i="39"/>
  <c r="K44" i="39"/>
  <c r="K43" i="39"/>
  <c r="K42" i="39"/>
  <c r="K41" i="39"/>
  <c r="K49" i="39"/>
  <c r="K50" i="39"/>
  <c r="K47" i="39"/>
  <c r="K48" i="39"/>
  <c r="K30" i="39"/>
  <c r="K17" i="39"/>
  <c r="K18" i="39"/>
  <c r="K6" i="39"/>
  <c r="K33" i="39"/>
  <c r="K34" i="39"/>
  <c r="K32" i="39"/>
  <c r="K23" i="39"/>
  <c r="K12" i="39"/>
  <c r="K11" i="39"/>
  <c r="K36" i="39"/>
  <c r="K35" i="39"/>
  <c r="K40" i="39"/>
  <c r="K24" i="39"/>
  <c r="K5" i="39"/>
  <c r="K29" i="39"/>
  <c r="K37" i="39"/>
  <c r="K31" i="39"/>
  <c r="K39" i="39"/>
  <c r="K3" i="39" l="1"/>
  <c r="K2" i="39"/>
  <c r="H3" i="39"/>
  <c r="H40" i="39"/>
  <c r="H39" i="39"/>
  <c r="H38" i="39"/>
  <c r="H37" i="39"/>
  <c r="H36" i="39"/>
  <c r="H35" i="39"/>
  <c r="H34" i="39"/>
  <c r="H33" i="39"/>
  <c r="H32" i="39"/>
  <c r="H31" i="39"/>
  <c r="H6" i="39"/>
  <c r="H29" i="39"/>
  <c r="H30" i="39"/>
  <c r="H24" i="39"/>
  <c r="H23" i="39"/>
  <c r="H18" i="39"/>
  <c r="H17" i="39"/>
  <c r="H12" i="39"/>
  <c r="H11" i="39"/>
  <c r="H5" i="39"/>
  <c r="K21" i="38" l="1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20" i="38"/>
  <c r="K13" i="38"/>
  <c r="K14" i="38"/>
  <c r="K15" i="38"/>
  <c r="K16" i="38"/>
  <c r="K17" i="38"/>
  <c r="K18" i="38"/>
  <c r="K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12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20171030_HAG_Jean_Test 2 (19)" description="Connection to the '20171030_HAG_Jean_Test 2 (19)' query in the workbook." type="5" refreshedVersion="6" background="1" saveData="1">
    <dbPr connection="Provider=Microsoft.Mashup.OleDb.1;Data Source=$Workbook$;Location=&quot;20171030_HAG_Jean_Test 2 (19)&quot;;Extended Properties=&quot;&quot;" command="SELECT * FROM [20171030_HAG_Jean_Test 2 (19)]"/>
  </connection>
  <connection id="2" xr16:uid="{00000000-0015-0000-FFFF-FFFF01000000}" keepAlive="1" name="Requête - 20171030_HAG_Jean_Test 2 (10)" description="Connexion à la requête « 20171030_HAG_Jean_Test 2 (10) » dans le classeur." type="5" refreshedVersion="6" background="1" saveData="1">
    <dbPr connection="Provider=Microsoft.Mashup.OleDb.1;Data Source=$Workbook$;Location=&quot;20171030_HAG_Jean_Test 2 (10)&quot;;Extended Properties=&quot;&quot;" command="SELECT * FROM [20171030_HAG_Jean_Test 2 (10)]"/>
  </connection>
  <connection id="3" xr16:uid="{00000000-0015-0000-FFFF-FFFF02000000}" keepAlive="1" name="Requête - 20171030_HAG_Jean_Test 2 (11)" description="Connexion à la requête « 20171030_HAG_Jean_Test 2 (11) » dans le classeur." type="5" refreshedVersion="6" background="1" saveData="1">
    <dbPr connection="Provider=Microsoft.Mashup.OleDb.1;Data Source=$Workbook$;Location=&quot;20171030_HAG_Jean_Test 2 (11)&quot;;Extended Properties=&quot;&quot;" command="SELECT * FROM [20171030_HAG_Jean_Test 2 (11)]"/>
  </connection>
  <connection id="4" xr16:uid="{00000000-0015-0000-FFFF-FFFF03000000}" keepAlive="1" name="Requête - 20171030_HAG_Jean_Test 2 (12)" description="Connexion à la requête « 20171030_HAG_Jean_Test 2 (12) » dans le classeur." type="5" refreshedVersion="6" background="1" saveData="1">
    <dbPr connection="Provider=Microsoft.Mashup.OleDb.1;Data Source=$Workbook$;Location=&quot;20171030_HAG_Jean_Test 2 (12)&quot;;Extended Properties=&quot;&quot;" command="SELECT * FROM [20171030_HAG_Jean_Test 2 (12)]"/>
  </connection>
  <connection id="5" xr16:uid="{00000000-0015-0000-FFFF-FFFF04000000}" keepAlive="1" name="Requête - 20171030_HAG_Jean_Test 2 (13)" description="Connexion à la requête « 20171030_HAG_Jean_Test 2 (13) » dans le classeur." type="5" refreshedVersion="6" background="1" saveData="1">
    <dbPr connection="Provider=Microsoft.Mashup.OleDb.1;Data Source=$Workbook$;Location=&quot;20171030_HAG_Jean_Test 2 (13)&quot;;Extended Properties=&quot;&quot;" command="SELECT * FROM [20171030_HAG_Jean_Test 2 (13)]"/>
  </connection>
  <connection id="6" xr16:uid="{00000000-0015-0000-FFFF-FFFF05000000}" keepAlive="1" name="Requête - 20171030_HAG_Jean_Test 2 (14)" description="Connexion à la requête « 20171030_HAG_Jean_Test 2 (14) » dans le classeur." type="5" refreshedVersion="6" background="1" saveData="1">
    <dbPr connection="Provider=Microsoft.Mashup.OleDb.1;Data Source=$Workbook$;Location=&quot;20171030_HAG_Jean_Test 2 (14)&quot;;Extended Properties=&quot;&quot;" command="SELECT * FROM [20171030_HAG_Jean_Test 2 (14)]"/>
  </connection>
  <connection id="7" xr16:uid="{00000000-0015-0000-FFFF-FFFF06000000}" keepAlive="1" name="Requête - 20171030_HAG_Jean_Test 2 (15)" description="Connexion à la requête « 20171030_HAG_Jean_Test 2 (15) » dans le classeur." type="5" refreshedVersion="6" background="1" saveData="1">
    <dbPr connection="Provider=Microsoft.Mashup.OleDb.1;Data Source=$Workbook$;Location=&quot;20171030_HAG_Jean_Test 2 (15)&quot;;Extended Properties=&quot;&quot;" command="SELECT * FROM [20171030_HAG_Jean_Test 2 (15)]"/>
  </connection>
  <connection id="8" xr16:uid="{00000000-0015-0000-FFFF-FFFF07000000}" keepAlive="1" name="Requête - 20171030_HAG_Jean_Test 2 (16)" description="Connexion à la requête « 20171030_HAG_Jean_Test 2 (16) » dans le classeur." type="5" refreshedVersion="6" background="1" saveData="1">
    <dbPr connection="Provider=Microsoft.Mashup.OleDb.1;Data Source=$Workbook$;Location=&quot;20171030_HAG_Jean_Test 2 (16)&quot;;Extended Properties=&quot;&quot;" command="SELECT * FROM [20171030_HAG_Jean_Test 2 (16)]"/>
  </connection>
  <connection id="9" xr16:uid="{00000000-0015-0000-FFFF-FFFF08000000}" keepAlive="1" name="Requête - 20171030_HAG_Jean_Test 2 (17)" description="Connexion à la requête « 20171030_HAG_Jean_Test 2 (17) » dans le classeur." type="5" refreshedVersion="6" background="1" saveData="1">
    <dbPr connection="Provider=Microsoft.Mashup.OleDb.1;Data Source=$Workbook$;Location=&quot;20171030_HAG_Jean_Test 2 (17)&quot;;Extended Properties=&quot;&quot;" command="SELECT * FROM [20171030_HAG_Jean_Test 2 (17)]"/>
  </connection>
  <connection id="10" xr16:uid="{00000000-0015-0000-FFFF-FFFF09000000}" keepAlive="1" name="Requête - 20171030_HAG_Jean_Test 2 (18)" description="Connexion à la requête « 20171030_HAG_Jean_Test 2 (18) » dans le classeur." type="5" refreshedVersion="6" background="1" saveData="1">
    <dbPr connection="Provider=Microsoft.Mashup.OleDb.1;Data Source=$Workbook$;Location=&quot;20171030_HAG_Jean_Test 2 (18)&quot;;Extended Properties=&quot;&quot;" command="SELECT * FROM [20171030_HAG_Jean_Test 2 (18)]"/>
  </connection>
  <connection id="11" xr16:uid="{00000000-0015-0000-FFFF-FFFF0A000000}" keepAlive="1" name="Requête - 20171030_HAG_Jean_Test 2 (2)" description="Connexion à la requête « 20171030_HAG_Jean_Test 2 (2) » dans le classeur." type="5" refreshedVersion="6" background="1" saveData="1">
    <dbPr connection="Provider=Microsoft.Mashup.OleDb.1;Data Source=$Workbook$;Location=&quot;20171030_HAG_Jean_Test 2 (2)&quot;;Extended Properties=&quot;&quot;" command="SELECT * FROM [20171030_HAG_Jean_Test 2 (2)]"/>
  </connection>
  <connection id="12" xr16:uid="{00000000-0015-0000-FFFF-FFFF0B000000}" keepAlive="1" name="Requête - 20171030_HAG_Jean_Test 2 (20)" description="Connexion à la requête « 20171030_HAG_Jean_Test 2 (20) » dans le classeur." type="5" refreshedVersion="6" background="1" saveData="1">
    <dbPr connection="Provider=Microsoft.Mashup.OleDb.1;Data Source=$Workbook$;Location=&quot;20171030_HAG_Jean_Test 2 (20)&quot;;Extended Properties=&quot;&quot;" command="SELECT * FROM [20171030_HAG_Jean_Test 2 (20)]"/>
  </connection>
  <connection id="13" xr16:uid="{00000000-0015-0000-FFFF-FFFF0C000000}" keepAlive="1" name="Requête - 20171030_HAG_Jean_Test 2 (21)" description="Connexion à la requête « 20171030_HAG_Jean_Test 2 (21) » dans le classeur." type="5" refreshedVersion="6" background="1" saveData="1">
    <dbPr connection="Provider=Microsoft.Mashup.OleDb.1;Data Source=$Workbook$;Location=&quot;20171030_HAG_Jean_Test 2 (21)&quot;;Extended Properties=&quot;&quot;" command="SELECT * FROM [20171030_HAG_Jean_Test 2 (21)]"/>
  </connection>
  <connection id="14" xr16:uid="{00000000-0015-0000-FFFF-FFFF0D000000}" keepAlive="1" name="Requête - 20171030_HAG_Jean_Test 2 (3)" description="Connexion à la requête « 20171030_HAG_Jean_Test 2 (3) » dans le classeur." type="5" refreshedVersion="6" background="1" saveData="1">
    <dbPr connection="Provider=Microsoft.Mashup.OleDb.1;Data Source=$Workbook$;Location=&quot;20171030_HAG_Jean_Test 2 (3)&quot;;Extended Properties=&quot;&quot;" command="SELECT * FROM [20171030_HAG_Jean_Test 2 (3)]"/>
  </connection>
  <connection id="15" xr16:uid="{00000000-0015-0000-FFFF-FFFF0E000000}" keepAlive="1" name="Requête - 20171030_HAG_Jean_Test 2 (5)" description="Connexion à la requête « 20171030_HAG_Jean_Test 2 (5) » dans le classeur." type="5" refreshedVersion="6" background="1" saveData="1">
    <dbPr connection="Provider=Microsoft.Mashup.OleDb.1;Data Source=$Workbook$;Location=&quot;20171030_HAG_Jean_Test 2 (5)&quot;;Extended Properties=&quot;&quot;" command="SELECT * FROM [20171030_HAG_Jean_Test 2 (5)]"/>
  </connection>
  <connection id="16" xr16:uid="{00000000-0015-0000-FFFF-FFFF0F000000}" keepAlive="1" name="Requête - 20171030_HAG_Jean_Test 2 (6)" description="Connexion à la requête « 20171030_HAG_Jean_Test 2 (6) » dans le classeur." type="5" refreshedVersion="6" background="1" saveData="1">
    <dbPr connection="Provider=Microsoft.Mashup.OleDb.1;Data Source=$Workbook$;Location=&quot;20171030_HAG_Jean_Test 2 (6)&quot;;Extended Properties=&quot;&quot;" command="SELECT * FROM [20171030_HAG_Jean_Test 2 (6)]"/>
  </connection>
  <connection id="17" xr16:uid="{00000000-0015-0000-FFFF-FFFF10000000}" keepAlive="1" name="Requête - 20171030_HAG_Jean_Test 2 (7)" description="Connexion à la requête « 20171030_HAG_Jean_Test 2 (7) » dans le classeur." type="5" refreshedVersion="6" background="1" saveData="1">
    <dbPr connection="Provider=Microsoft.Mashup.OleDb.1;Data Source=$Workbook$;Location=&quot;20171030_HAG_Jean_Test 2 (7)&quot;;Extended Properties=&quot;&quot;" command="SELECT * FROM [20171030_HAG_Jean_Test 2 (7)]"/>
  </connection>
  <connection id="18" xr16:uid="{00000000-0015-0000-FFFF-FFFF11000000}" keepAlive="1" name="Requête - 20171030_HAG_Jean_Test 2 (8)" description="Connexion à la requête « 20171030_HAG_Jean_Test 2 (8) » dans le classeur." type="5" refreshedVersion="6" background="1" saveData="1">
    <dbPr connection="Provider=Microsoft.Mashup.OleDb.1;Data Source=$Workbook$;Location=&quot;20171030_HAG_Jean_Test 2 (8)&quot;;Extended Properties=&quot;&quot;" command="SELECT * FROM [20171030_HAG_Jean_Test 2 (8)]"/>
  </connection>
  <connection id="19" xr16:uid="{00000000-0015-0000-FFFF-FFFF12000000}" keepAlive="1" name="Requête - 20171030_HAG_Jean_Test 2 (9)" description="Connexion à la requête « 20171030_HAG_Jean_Test 2 (9) » dans le classeur." type="5" refreshedVersion="6" background="1" saveData="1">
    <dbPr connection="Provider=Microsoft.Mashup.OleDb.1;Data Source=$Workbook$;Location=&quot;20171030_HAG_Jean_Test 2 (9)&quot;;Extended Properties=&quot;&quot;" command="SELECT * FROM [20171030_HAG_Jean_Test 2 (9)]"/>
  </connection>
</connections>
</file>

<file path=xl/sharedStrings.xml><?xml version="1.0" encoding="utf-8"?>
<sst xmlns="http://schemas.openxmlformats.org/spreadsheetml/2006/main" count="393" uniqueCount="148">
  <si>
    <t>REFX-M1-000-001</t>
  </si>
  <si>
    <t>53SM-M1-000-001</t>
  </si>
  <si>
    <t>REFX-M1-F82-001</t>
  </si>
  <si>
    <t>THKB-M1-000-001</t>
  </si>
  <si>
    <t>53L6-M1-000-001</t>
  </si>
  <si>
    <t>REFX-M1-MI1-001</t>
  </si>
  <si>
    <t>REFX-M1-MA1-001</t>
  </si>
  <si>
    <t>REFX-M1-FIS-001</t>
  </si>
  <si>
    <t>REFX-M1-FRS-001</t>
  </si>
  <si>
    <t>REFG-M1-000-001</t>
  </si>
  <si>
    <t>BLPX-M1-000-001</t>
  </si>
  <si>
    <t>REFX-M1-Q34-001</t>
  </si>
  <si>
    <t>240X-M1-000-001</t>
  </si>
  <si>
    <t>REFX-M1-EP1-001</t>
  </si>
  <si>
    <t>REFX-M1-IP1-001</t>
  </si>
  <si>
    <t>REFX-M1-000-002</t>
  </si>
  <si>
    <t>REFX-M1-FC1-001</t>
  </si>
  <si>
    <t>REFX-M1-MK1-001</t>
  </si>
  <si>
    <t>REFX-S1-FTS-001</t>
  </si>
  <si>
    <t>FTIR-S1-FTH-001</t>
  </si>
  <si>
    <t>799X-M1-000-002</t>
  </si>
  <si>
    <t>REFG-M1-000-002</t>
  </si>
  <si>
    <t>REFG-M1-000-003</t>
  </si>
  <si>
    <t>BLPX-M1-000-002</t>
  </si>
  <si>
    <t>BLPX-M1-000-003</t>
  </si>
  <si>
    <t>REFX-M1-000-003</t>
  </si>
  <si>
    <t>REFX-M1-000-004</t>
  </si>
  <si>
    <t>REFX-M1-MI1-002</t>
  </si>
  <si>
    <t>REFX-M1-MA1-002</t>
  </si>
  <si>
    <t>REFX-M1-MI2-001</t>
  </si>
  <si>
    <t>REFX-M1-MA2-001</t>
  </si>
  <si>
    <t>REFX-M1-F83-001</t>
  </si>
  <si>
    <t>REFX-M1-F82-002</t>
  </si>
  <si>
    <t>REFX-M1-F82-003</t>
  </si>
  <si>
    <t>REFX-M1-F81-001</t>
  </si>
  <si>
    <t>REFX-M1-IP1-002</t>
  </si>
  <si>
    <t>REFX-M1-IP4-001</t>
  </si>
  <si>
    <t>Coupon ID</t>
  </si>
  <si>
    <t>Avg. Backside Temp.</t>
  </si>
  <si>
    <t>Unprotected</t>
  </si>
  <si>
    <t>CYCOM799H/Glass / --</t>
  </si>
  <si>
    <t>BASELINE panel [3] / --</t>
  </si>
  <si>
    <t>Phenolic</t>
  </si>
  <si>
    <t>FTI FibaRoll PH ZF + FibaTherm L1  [13]</t>
  </si>
  <si>
    <t>REF panel + GF [2] / --</t>
  </si>
  <si>
    <t>REF panel [1] / --</t>
  </si>
  <si>
    <t>Intumescent</t>
  </si>
  <si>
    <t>REF panel [1] / Elasto Proxy formulation</t>
  </si>
  <si>
    <t>Ablator / insulator</t>
  </si>
  <si>
    <t>Pre-creamic coating</t>
  </si>
  <si>
    <t>REF panel [1] / Fastblock 813 (1/8" THK)</t>
  </si>
  <si>
    <t>REF panel [1] / Fastblock 813 (1/4" THK)</t>
  </si>
  <si>
    <t>REF panel [1] / Fastblock 813 (1/2" THK)</t>
  </si>
  <si>
    <t>REF panel [1] / 173HF+190</t>
  </si>
  <si>
    <t>REF panel [1] / FTI FibaSil [15]</t>
  </si>
  <si>
    <t>REF panel [1] / FTI FibaRoll PH SMC [16]</t>
  </si>
  <si>
    <t>REF panel [1] / IP9189 (4 coats)</t>
  </si>
  <si>
    <t>REF panel [1] / IP9189 (16 coats)</t>
  </si>
  <si>
    <t>REF panel [1] / MA-25S (1/8" THK)</t>
  </si>
  <si>
    <t>REF panel [1] / MA-25S (1/4" THK)</t>
  </si>
  <si>
    <t>REF panel [1] / MI-15 (1/8" THK)</t>
  </si>
  <si>
    <t>REF panel [1] / MI-15 (1/4" THK)</t>
  </si>
  <si>
    <t>Mat / panel</t>
  </si>
  <si>
    <t>B-LINE panel [3]/minK 16pcf (0.3" THK) [8]</t>
  </si>
  <si>
    <t>REF panel [1] / Qfiber (3 pcf, 1/4" THK)</t>
  </si>
  <si>
    <t>REF panel [1] / FibaThermL1 + FibaSil [14]</t>
  </si>
  <si>
    <t>MTM45-1 thick offcut</t>
  </si>
  <si>
    <t>CYCOM2400M-1 Carbon / --</t>
  </si>
  <si>
    <t>Silicone prepreg</t>
  </si>
  <si>
    <t>5320EO [5] / L-692SAB [7]</t>
  </si>
  <si>
    <t>5320EO [5] / SM8027 [6]</t>
  </si>
  <si>
    <t>Category</t>
  </si>
  <si>
    <t>Description</t>
  </si>
  <si>
    <t>STD. DEV. (backside temp.)</t>
  </si>
  <si>
    <t>Mass loss %</t>
  </si>
  <si>
    <t>Norm.Mass loss</t>
  </si>
  <si>
    <t>Norm. Backside Temp</t>
  </si>
  <si>
    <t>REF Average</t>
  </si>
  <si>
    <t>REFG Average</t>
  </si>
  <si>
    <t>BLP Average</t>
  </si>
  <si>
    <t>No</t>
  </si>
  <si>
    <t>Sample-ID</t>
  </si>
  <si>
    <t>BLPX-M1-QUENCH015-01</t>
  </si>
  <si>
    <t>BLPX-M1-QUENCH015-02</t>
  </si>
  <si>
    <t>BLPX-M1-QUENCH015-03</t>
  </si>
  <si>
    <t>BLPX-M1-QUENCH015-04</t>
  </si>
  <si>
    <t>BLPX-M1-QUENCH015-05</t>
  </si>
  <si>
    <t>BLPX-M1-QUENCH015-06</t>
  </si>
  <si>
    <t>BLPX-M1-QUENCH030-01</t>
  </si>
  <si>
    <t>BLPX-M1-QUENCH030-02</t>
  </si>
  <si>
    <t>BLPX-M1-QUENCH030-03</t>
  </si>
  <si>
    <t>BLPX-M1-QUENCH030-04</t>
  </si>
  <si>
    <t>BLPX-M1-QUENCH030-05</t>
  </si>
  <si>
    <t>BLPX-M1-QUENCH030-06</t>
  </si>
  <si>
    <t>BLPX-M1-QUENCH045-01</t>
  </si>
  <si>
    <t>BLPX-M1-QUENCH045-02</t>
  </si>
  <si>
    <t>BLPX-M1-QUENCH045-03</t>
  </si>
  <si>
    <t>BLPX-M1-QUENCH045-04</t>
  </si>
  <si>
    <t>BLPX-M1-QUENCH045-05</t>
  </si>
  <si>
    <t>BLPX-M1-QUENCH045-06</t>
  </si>
  <si>
    <t>BLPX-M1-QUENCH060-01</t>
  </si>
  <si>
    <t>BLPX-M1-QUENCH060-02</t>
  </si>
  <si>
    <t>BLPX-M1-QUENCH060-03</t>
  </si>
  <si>
    <t>BLPX-M1-QUENCH060-04</t>
  </si>
  <si>
    <t>BLPX-M1-QUENCH060-05</t>
  </si>
  <si>
    <t>BLPX-M1-QUENCH060-06</t>
  </si>
  <si>
    <t>BLPX-M1-QUENCH075-01</t>
  </si>
  <si>
    <t>BLPX-M1-QUENCH075-02</t>
  </si>
  <si>
    <t>BLPX-M1-QUENCH090-01</t>
  </si>
  <si>
    <t>BLPX-M1-QUENCH090-02</t>
  </si>
  <si>
    <t>BLPX-M1-QUENCH105-01</t>
  </si>
  <si>
    <t>BLPX-M1-QUENCH105-02</t>
  </si>
  <si>
    <t>BLPX-M1-QUENCH120-01</t>
  </si>
  <si>
    <t>BLPX-M1-QUENCH120-02</t>
  </si>
  <si>
    <t>BLPX-M1-QUENCH135-01</t>
  </si>
  <si>
    <t>BLPX-M1-QUENCH135-02</t>
  </si>
  <si>
    <t>BLPX-M1-QUENCH150-01</t>
  </si>
  <si>
    <t>BLPX-M1-QUENCH150-02</t>
  </si>
  <si>
    <t>F_max [kN]</t>
  </si>
  <si>
    <t>AVG</t>
  </si>
  <si>
    <t>STD DEV</t>
  </si>
  <si>
    <t>BLP-001 (1000 psi grip)</t>
  </si>
  <si>
    <t>BLP-004 (1100 psi grip)</t>
  </si>
  <si>
    <t>BLP-002 (700 psi grip)</t>
  </si>
  <si>
    <t>width_avg [mm]</t>
  </si>
  <si>
    <t>THK_avg [mm]</t>
  </si>
  <si>
    <t>FORCE [kN]</t>
  </si>
  <si>
    <t>Strength [MPa]</t>
  </si>
  <si>
    <t>sec_area_avg [mm^2]</t>
  </si>
  <si>
    <t>STD. DEV. (Load.)</t>
  </si>
  <si>
    <t>Ultimate Tensile Strength [MPa]</t>
  </si>
  <si>
    <t>Ultimate Tensile Load [kN]</t>
  </si>
  <si>
    <t>Normalized Ultimate Tensile Strength</t>
  </si>
  <si>
    <t>Quenching time [s]</t>
  </si>
  <si>
    <t>BLPX-M1-QUENCH165-01</t>
  </si>
  <si>
    <t>BLPX-M1-QUENCH165-02</t>
  </si>
  <si>
    <t>BLPX-M1-QUENCH180-01</t>
  </si>
  <si>
    <t>BLPX-M1-QUENCH180-02</t>
  </si>
  <si>
    <t>BLPX-M1-QUENCH240-01</t>
  </si>
  <si>
    <t>BLPX-M1-QUENCH240-02</t>
  </si>
  <si>
    <t>BLPX-M1-QUENCH420-01</t>
  </si>
  <si>
    <t>BLPX-M1-QUENCH420-02</t>
  </si>
  <si>
    <t>BLPX-M1-QUENCH600-01</t>
  </si>
  <si>
    <t>BLPX-M1-QUENCH600-02</t>
  </si>
  <si>
    <t>BLPX-M1-QUENCH900-01</t>
  </si>
  <si>
    <t>BLPX-M1-QUENCH900-02</t>
  </si>
  <si>
    <t>Normalized Ultimate Tensile Strength (Same Values)</t>
  </si>
  <si>
    <t>Normalized SD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</si>
</sst>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5" borderId="2" xfId="0" applyFill="1" applyBorder="1"/>
    <xf numFmtId="0" fontId="0" fillId="7" borderId="2" xfId="0" applyFill="1" applyBorder="1"/>
    <xf numFmtId="0" fontId="0" fillId="7" borderId="1" xfId="0" applyFill="1" applyBorder="1"/>
    <xf numFmtId="0" fontId="0" fillId="9" borderId="2" xfId="0" applyFill="1" applyBorder="1"/>
    <xf numFmtId="0" fontId="0" fillId="9" borderId="1" xfId="0" applyFill="1" applyBorder="1"/>
    <xf numFmtId="0" fontId="0" fillId="10" borderId="1" xfId="0" applyFill="1" applyBorder="1"/>
    <xf numFmtId="0" fontId="0" fillId="4" borderId="2" xfId="0" applyFill="1" applyBorder="1"/>
    <xf numFmtId="0" fontId="0" fillId="10" borderId="2" xfId="0" applyFill="1" applyBorder="1"/>
    <xf numFmtId="2" fontId="3" fillId="8" borderId="2" xfId="0" applyNumberFormat="1" applyFont="1" applyFill="1" applyBorder="1" applyAlignment="1">
      <alignment horizontal="center" wrapText="1" readingOrder="1"/>
    </xf>
    <xf numFmtId="2" fontId="0" fillId="8" borderId="2" xfId="0" applyNumberFormat="1" applyFill="1" applyBorder="1" applyAlignment="1">
      <alignment horizontal="center"/>
    </xf>
    <xf numFmtId="0" fontId="3" fillId="8" borderId="2" xfId="0" applyFont="1" applyFill="1" applyBorder="1" applyAlignment="1">
      <alignment horizontal="center" wrapText="1" readingOrder="1"/>
    </xf>
    <xf numFmtId="2" fontId="1" fillId="8" borderId="2" xfId="0" applyNumberFormat="1" applyFont="1" applyFill="1" applyBorder="1" applyAlignment="1" applyProtection="1">
      <alignment horizontal="center" wrapText="1" readingOrder="1"/>
    </xf>
    <xf numFmtId="0" fontId="1" fillId="8" borderId="2" xfId="0" applyNumberFormat="1" applyFont="1" applyFill="1" applyBorder="1" applyAlignment="1" applyProtection="1">
      <alignment horizontal="center" wrapText="1" readingOrder="1"/>
    </xf>
    <xf numFmtId="2" fontId="1" fillId="8" borderId="2" xfId="0" applyNumberFormat="1" applyFont="1" applyFill="1" applyBorder="1" applyAlignment="1" applyProtection="1">
      <alignment horizontal="center"/>
    </xf>
    <xf numFmtId="0" fontId="1" fillId="8" borderId="2" xfId="0" applyNumberFormat="1" applyFont="1" applyFill="1" applyBorder="1" applyAlignment="1" applyProtection="1">
      <alignment horizontal="center"/>
    </xf>
    <xf numFmtId="2" fontId="1" fillId="8" borderId="1" xfId="0" applyNumberFormat="1" applyFont="1" applyFill="1" applyBorder="1" applyAlignment="1" applyProtection="1">
      <alignment horizontal="center" wrapText="1" readingOrder="1"/>
    </xf>
    <xf numFmtId="0" fontId="3" fillId="8" borderId="1" xfId="1" applyNumberFormat="1" applyFont="1" applyFill="1" applyBorder="1" applyAlignment="1">
      <alignment horizontal="center" wrapText="1" readingOrder="1"/>
    </xf>
    <xf numFmtId="0" fontId="3" fillId="8" borderId="2" xfId="1" applyNumberFormat="1" applyFont="1" applyFill="1" applyBorder="1" applyAlignment="1">
      <alignment horizontal="center" wrapText="1" readingOrder="1"/>
    </xf>
    <xf numFmtId="0" fontId="0" fillId="11" borderId="1" xfId="0" applyFill="1" applyBorder="1"/>
    <xf numFmtId="0" fontId="0" fillId="11" borderId="0" xfId="0" applyFill="1"/>
    <xf numFmtId="0" fontId="4" fillId="12" borderId="3" xfId="0" applyFont="1" applyFill="1" applyBorder="1" applyAlignment="1">
      <alignment horizontal="center"/>
    </xf>
    <xf numFmtId="0" fontId="4" fillId="12" borderId="0" xfId="0" applyFont="1" applyFill="1" applyAlignment="1">
      <alignment horizontal="center"/>
    </xf>
    <xf numFmtId="0" fontId="0" fillId="9" borderId="4" xfId="0" applyFill="1" applyBorder="1"/>
    <xf numFmtId="0" fontId="0" fillId="0" borderId="5" xfId="0" applyBorder="1"/>
    <xf numFmtId="0" fontId="0" fillId="9" borderId="7" xfId="0" applyFill="1" applyBorder="1"/>
    <xf numFmtId="0" fontId="0" fillId="0" borderId="0" xfId="0" applyBorder="1"/>
    <xf numFmtId="2" fontId="0" fillId="0" borderId="8" xfId="0" applyNumberFormat="1" applyBorder="1"/>
    <xf numFmtId="0" fontId="0" fillId="9" borderId="9" xfId="0" applyFill="1" applyBorder="1"/>
    <xf numFmtId="0" fontId="0" fillId="0" borderId="10" xfId="0" applyBorder="1"/>
    <xf numFmtId="0" fontId="0" fillId="0" borderId="4" xfId="0" applyBorder="1"/>
    <xf numFmtId="0" fontId="0" fillId="0" borderId="9" xfId="0" applyBorder="1"/>
    <xf numFmtId="0" fontId="0" fillId="0" borderId="7" xfId="0" applyBorder="1"/>
    <xf numFmtId="2" fontId="0" fillId="0" borderId="0" xfId="0" applyNumberFormat="1" applyBorder="1"/>
    <xf numFmtId="0" fontId="0" fillId="13" borderId="0" xfId="0" applyFill="1"/>
    <xf numFmtId="9" fontId="3" fillId="13" borderId="0" xfId="1" applyFont="1" applyFill="1" applyBorder="1" applyAlignment="1">
      <alignment horizontal="center" wrapText="1" readingOrder="1"/>
    </xf>
    <xf numFmtId="0" fontId="0" fillId="14" borderId="0" xfId="0" applyFill="1"/>
    <xf numFmtId="0" fontId="0" fillId="8" borderId="0" xfId="0" applyFill="1"/>
    <xf numFmtId="0" fontId="0" fillId="8" borderId="1" xfId="0" applyNumberFormat="1" applyFill="1" applyBorder="1"/>
    <xf numFmtId="2" fontId="0" fillId="0" borderId="0" xfId="0" applyNumberFormat="1"/>
    <xf numFmtId="164" fontId="3" fillId="14" borderId="2" xfId="0" applyNumberFormat="1" applyFont="1" applyFill="1" applyBorder="1" applyAlignment="1">
      <alignment horizontal="center" wrapText="1" readingOrder="1"/>
    </xf>
    <xf numFmtId="164" fontId="0" fillId="14" borderId="2" xfId="0" applyNumberFormat="1" applyFill="1" applyBorder="1" applyAlignment="1">
      <alignment horizontal="center"/>
    </xf>
    <xf numFmtId="164" fontId="1" fillId="14" borderId="2" xfId="0" applyNumberFormat="1" applyFont="1" applyFill="1" applyBorder="1" applyAlignment="1" applyProtection="1">
      <alignment horizontal="center" wrapText="1" readingOrder="1"/>
    </xf>
    <xf numFmtId="164" fontId="3" fillId="8" borderId="2" xfId="0" applyNumberFormat="1" applyFont="1" applyFill="1" applyBorder="1" applyAlignment="1">
      <alignment horizontal="center" wrapText="1" readingOrder="1"/>
    </xf>
    <xf numFmtId="164" fontId="0" fillId="8" borderId="2" xfId="0" applyNumberFormat="1" applyFill="1" applyBorder="1" applyAlignment="1">
      <alignment horizontal="center"/>
    </xf>
    <xf numFmtId="164" fontId="1" fillId="8" borderId="2" xfId="0" applyNumberFormat="1" applyFont="1" applyFill="1" applyBorder="1" applyAlignment="1" applyProtection="1">
      <alignment horizontal="center" wrapText="1" readingOrder="1"/>
    </xf>
    <xf numFmtId="0" fontId="0" fillId="8" borderId="2" xfId="0" applyFill="1" applyBorder="1"/>
    <xf numFmtId="164" fontId="1" fillId="8" borderId="2" xfId="0" applyNumberFormat="1" applyFont="1" applyFill="1" applyBorder="1" applyAlignment="1" applyProtection="1">
      <alignment horizontal="center"/>
    </xf>
    <xf numFmtId="2" fontId="0" fillId="0" borderId="6" xfId="0" applyNumberFormat="1" applyBorder="1"/>
    <xf numFmtId="2" fontId="0" fillId="0" borderId="5" xfId="0" applyNumberFormat="1" applyBorder="1"/>
    <xf numFmtId="2" fontId="0" fillId="0" borderId="11" xfId="0" applyNumberFormat="1" applyBorder="1"/>
    <xf numFmtId="2" fontId="0" fillId="0" borderId="10" xfId="0" applyNumberFormat="1" applyBorder="1"/>
    <xf numFmtId="2" fontId="0" fillId="0" borderId="0" xfId="0" applyNumberFormat="1" applyFill="1" applyBorder="1"/>
    <xf numFmtId="164" fontId="0" fillId="7" borderId="12" xfId="0" applyNumberFormat="1" applyFill="1" applyBorder="1"/>
    <xf numFmtId="9" fontId="3" fillId="15" borderId="0" xfId="1" applyFont="1" applyFill="1" applyBorder="1" applyAlignment="1">
      <alignment horizontal="center" wrapText="1" readingOrder="1"/>
    </xf>
    <xf numFmtId="0" fontId="0" fillId="15" borderId="0" xfId="0" applyFill="1"/>
    <xf numFmtId="0" fontId="0" fillId="16" borderId="0" xfId="0" applyFill="1"/>
    <xf numFmtId="165" fontId="3" fillId="16" borderId="0" xfId="1" applyNumberFormat="1" applyFont="1" applyFill="1" applyBorder="1" applyAlignment="1">
      <alignment horizontal="center" wrapText="1" readingOrder="1"/>
    </xf>
    <xf numFmtId="165" fontId="3" fillId="13" borderId="0" xfId="1" applyNumberFormat="1" applyFont="1" applyFill="1" applyBorder="1" applyAlignment="1">
      <alignment horizontal="center" wrapText="1" readingOrder="1"/>
    </xf>
    <xf numFmtId="165" fontId="3" fillId="15" borderId="0" xfId="1" applyNumberFormat="1" applyFont="1" applyFill="1" applyBorder="1" applyAlignment="1">
      <alignment horizontal="center" wrapText="1" readingOrder="1"/>
    </xf>
    <xf numFmtId="0" fontId="0" fillId="11" borderId="10" xfId="0" applyFill="1" applyBorder="1" applyAlignment="1">
      <alignment horizontal="center"/>
    </xf>
    <xf numFmtId="0" fontId="4" fillId="7" borderId="0" xfId="0" applyFont="1" applyFill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7"/>
  <sheetViews>
    <sheetView workbookViewId="0">
      <selection activeCell="B1" sqref="B1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7" width="10.6640625" customWidth="1"/>
    <col min="9" max="9" width="18" bestFit="1" customWidth="1"/>
    <col min="10" max="10" width="25.6640625" customWidth="1"/>
    <col min="11" max="11" width="16.109375" bestFit="1" customWidth="1"/>
    <col min="12" max="12" width="29.6640625" bestFit="1" customWidth="1"/>
    <col min="13" max="13" width="16.109375" bestFit="1" customWidth="1"/>
    <col min="14" max="14" width="34.88671875" bestFit="1" customWidth="1"/>
    <col min="15" max="15" width="21.44140625" customWidth="1"/>
  </cols>
  <sheetData>
    <row r="1" spans="1:14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41">
        <f>(D1-MIN($D$1:$D$17))/(MAX($D$1:$D$17)-MIN($D$1:$D$17))</f>
        <v>1</v>
      </c>
      <c r="G1" s="60">
        <f>(D1)/(MAX($D$1:$D$11))</f>
        <v>1</v>
      </c>
      <c r="I1" s="43" t="s">
        <v>133</v>
      </c>
      <c r="J1" s="43" t="s">
        <v>131</v>
      </c>
      <c r="K1" s="43" t="s">
        <v>129</v>
      </c>
      <c r="L1" s="42" t="s">
        <v>130</v>
      </c>
      <c r="M1" s="43" t="s">
        <v>129</v>
      </c>
      <c r="N1" s="40" t="s">
        <v>146</v>
      </c>
    </row>
    <row r="2" spans="1:14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41">
        <f t="shared" ref="F2:F17" si="0">(D2-MIN($D$1:$D$17))/(MAX($D$1:$D$17)-MIN($D$1:$D$17))</f>
        <v>0.79999352087322173</v>
      </c>
      <c r="G2" s="60">
        <f t="shared" ref="G2:G17" si="1">(D2)/(MAX($D$1:$D$11))</f>
        <v>0.81885948020322508</v>
      </c>
    </row>
    <row r="3" spans="1:14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41">
        <f t="shared" si="0"/>
        <v>0.45292540008365678</v>
      </c>
      <c r="G3" s="60">
        <f t="shared" si="1"/>
        <v>0.50452916410950799</v>
      </c>
    </row>
    <row r="4" spans="1:14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41">
        <f t="shared" si="0"/>
        <v>0.25090073367718047</v>
      </c>
      <c r="G4" s="60">
        <f t="shared" si="1"/>
        <v>0.32156082606160519</v>
      </c>
    </row>
    <row r="5" spans="1:14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41">
        <f t="shared" si="0"/>
        <v>8.9229141981246096E-2</v>
      </c>
      <c r="G5" s="60">
        <f t="shared" si="1"/>
        <v>0.17513918870249529</v>
      </c>
    </row>
    <row r="6" spans="1:14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41">
        <f t="shared" si="0"/>
        <v>8.4927773010345292E-2</v>
      </c>
      <c r="G6" s="60">
        <f t="shared" si="1"/>
        <v>0.17124355384792236</v>
      </c>
    </row>
    <row r="7" spans="1:14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41">
        <f t="shared" si="0"/>
        <v>5.0522133720726128E-2</v>
      </c>
      <c r="G7" s="60">
        <f t="shared" si="1"/>
        <v>0.14008328638022943</v>
      </c>
    </row>
    <row r="8" spans="1:14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41">
        <f t="shared" si="0"/>
        <v>1.9509195525115968E-2</v>
      </c>
      <c r="G8" s="60">
        <f t="shared" si="1"/>
        <v>0.11199569756958304</v>
      </c>
    </row>
    <row r="9" spans="1:14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41">
        <f t="shared" si="0"/>
        <v>1.6751973702272532E-2</v>
      </c>
      <c r="G9" s="60">
        <f t="shared" si="1"/>
        <v>0.10949855549515911</v>
      </c>
    </row>
    <row r="10" spans="1:14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41">
        <f t="shared" si="0"/>
        <v>2.4492108309625404E-2</v>
      </c>
      <c r="G10" s="60">
        <f t="shared" si="1"/>
        <v>0.11650858843106307</v>
      </c>
    </row>
    <row r="11" spans="1:14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41">
        <f t="shared" si="0"/>
        <v>0</v>
      </c>
      <c r="G11" s="60">
        <f t="shared" si="1"/>
        <v>9.4326740875453244E-2</v>
      </c>
    </row>
    <row r="12" spans="1:14" x14ac:dyDescent="0.3">
      <c r="A12" s="52">
        <v>165</v>
      </c>
      <c r="B12" s="53">
        <v>3.4</v>
      </c>
      <c r="C12" s="49">
        <v>0.49497474683058429</v>
      </c>
      <c r="D12" s="46">
        <v>78.984564141204473</v>
      </c>
      <c r="E12" s="15">
        <v>11.803724909775351</v>
      </c>
      <c r="F12" s="41">
        <f t="shared" si="0"/>
        <v>3.0473981454350114E-2</v>
      </c>
      <c r="G12" s="60">
        <f t="shared" si="1"/>
        <v>0.1219262109777155</v>
      </c>
    </row>
    <row r="13" spans="1:14" x14ac:dyDescent="0.3">
      <c r="A13" s="52">
        <v>180</v>
      </c>
      <c r="B13" s="53">
        <v>3.2149999999999999</v>
      </c>
      <c r="C13" s="49">
        <v>0.41719300090006295</v>
      </c>
      <c r="D13" s="48">
        <v>75.367569907929862</v>
      </c>
      <c r="E13" s="15">
        <v>9.6559612993203672</v>
      </c>
      <c r="F13" s="41">
        <f t="shared" si="0"/>
        <v>2.4309009245595214E-2</v>
      </c>
      <c r="G13" s="60">
        <f t="shared" si="1"/>
        <v>0.1163427605050002</v>
      </c>
    </row>
    <row r="14" spans="1:14" x14ac:dyDescent="0.3">
      <c r="A14" s="52">
        <v>240</v>
      </c>
      <c r="B14" s="53">
        <v>3.5049999999999999</v>
      </c>
      <c r="C14" s="49">
        <v>0.14849242404917495</v>
      </c>
      <c r="D14" s="48">
        <v>83.219105693378566</v>
      </c>
      <c r="E14" s="15">
        <v>2.248554553631291</v>
      </c>
      <c r="F14" s="41">
        <f t="shared" si="0"/>
        <v>3.7691529866733527E-2</v>
      </c>
      <c r="G14" s="60">
        <f t="shared" si="1"/>
        <v>0.12846295157124799</v>
      </c>
    </row>
    <row r="15" spans="1:14" x14ac:dyDescent="0.3">
      <c r="A15" s="52">
        <v>420</v>
      </c>
      <c r="B15" s="53">
        <v>3.59</v>
      </c>
      <c r="C15" s="49">
        <v>0.39597979746446665</v>
      </c>
      <c r="D15" s="48">
        <v>84.956115764085951</v>
      </c>
      <c r="E15" s="15">
        <v>9.195832378094968</v>
      </c>
      <c r="F15" s="41">
        <f t="shared" si="0"/>
        <v>4.0652170144709163E-2</v>
      </c>
      <c r="G15" s="60">
        <f t="shared" si="1"/>
        <v>0.13114432430089759</v>
      </c>
    </row>
    <row r="16" spans="1:14" x14ac:dyDescent="0.3">
      <c r="A16" s="52">
        <v>600</v>
      </c>
      <c r="B16" s="53">
        <v>3.7050000000000001</v>
      </c>
      <c r="C16" s="49">
        <v>3.5355339059327251E-2</v>
      </c>
      <c r="D16" s="48">
        <v>87.466183864185055</v>
      </c>
      <c r="E16" s="15">
        <v>4.1064149692139222E-2</v>
      </c>
      <c r="F16" s="41">
        <f t="shared" si="0"/>
        <v>4.4930446271564776E-2</v>
      </c>
      <c r="G16" s="60">
        <f t="shared" si="1"/>
        <v>0.13501904458414166</v>
      </c>
    </row>
    <row r="17" spans="1:7" x14ac:dyDescent="0.3">
      <c r="A17" s="52">
        <v>900</v>
      </c>
      <c r="B17" s="53">
        <v>4.01</v>
      </c>
      <c r="C17" s="49">
        <v>0.1131370849898474</v>
      </c>
      <c r="D17" s="48">
        <v>95.116657238042563</v>
      </c>
      <c r="E17" s="15">
        <v>5.8755770061949431</v>
      </c>
      <c r="F17" s="41">
        <f t="shared" si="0"/>
        <v>5.7970266821942194E-2</v>
      </c>
      <c r="G17" s="60">
        <f t="shared" si="1"/>
        <v>0.14682886136040121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4"/>
  <sheetViews>
    <sheetView workbookViewId="0">
      <selection activeCell="H58" sqref="H58"/>
    </sheetView>
  </sheetViews>
  <sheetFormatPr baseColWidth="10" defaultRowHeight="14.4" x14ac:dyDescent="0.3"/>
  <cols>
    <col min="1" max="1" width="3.5546875" bestFit="1" customWidth="1"/>
    <col min="2" max="2" width="23" bestFit="1" customWidth="1"/>
    <col min="4" max="4" width="15.44140625" bestFit="1" customWidth="1"/>
    <col min="5" max="5" width="13.44140625" bestFit="1" customWidth="1"/>
    <col min="6" max="6" width="20.44140625" customWidth="1"/>
    <col min="9" max="9" width="18.109375" customWidth="1"/>
  </cols>
  <sheetData>
    <row r="1" spans="1:11" ht="15" thickBot="1" x14ac:dyDescent="0.35">
      <c r="A1" s="27" t="s">
        <v>80</v>
      </c>
      <c r="B1" s="27" t="s">
        <v>81</v>
      </c>
      <c r="C1" s="28" t="s">
        <v>118</v>
      </c>
      <c r="D1" s="28" t="s">
        <v>124</v>
      </c>
      <c r="E1" s="28" t="s">
        <v>125</v>
      </c>
      <c r="F1" s="28" t="s">
        <v>128</v>
      </c>
      <c r="G1" s="66" t="s">
        <v>126</v>
      </c>
      <c r="H1" s="66"/>
      <c r="I1" s="67" t="s">
        <v>127</v>
      </c>
      <c r="J1" s="67"/>
      <c r="K1" s="67"/>
    </row>
    <row r="2" spans="1:11" ht="15" thickBot="1" x14ac:dyDescent="0.35">
      <c r="B2" t="s">
        <v>121</v>
      </c>
      <c r="C2" s="45">
        <v>27.26</v>
      </c>
      <c r="D2" s="45">
        <f>(24.78+24.95+24.85)/3</f>
        <v>24.860000000000003</v>
      </c>
      <c r="E2" s="45">
        <f>(1.72+1.74+1.71)/3</f>
        <v>1.7233333333333334</v>
      </c>
      <c r="F2" s="39">
        <f t="shared" ref="F2:F4" si="0">D2*E2</f>
        <v>42.842066666666675</v>
      </c>
      <c r="G2" s="36" t="s">
        <v>119</v>
      </c>
      <c r="H2" s="54">
        <f>AVERAGE(C2:C4)</f>
        <v>27.316666666666666</v>
      </c>
      <c r="I2" s="59">
        <f>C2*1000/(F2)</f>
        <v>636.29049952461048</v>
      </c>
      <c r="J2" s="36" t="s">
        <v>119</v>
      </c>
      <c r="K2" s="54">
        <f>AVERAGE(I2:I4)</f>
        <v>647.8062715788036</v>
      </c>
    </row>
    <row r="3" spans="1:11" ht="15" thickBot="1" x14ac:dyDescent="0.35">
      <c r="B3" t="s">
        <v>123</v>
      </c>
      <c r="C3" s="45">
        <v>27.19</v>
      </c>
      <c r="D3" s="45">
        <f>(24.78+24.74+24.52)/3</f>
        <v>24.679999999999996</v>
      </c>
      <c r="E3" s="45">
        <f>(1.64+1.72+1.69)/3</f>
        <v>1.6833333333333333</v>
      </c>
      <c r="F3" s="39">
        <f t="shared" si="0"/>
        <v>41.544666666666657</v>
      </c>
      <c r="G3" s="38" t="s">
        <v>120</v>
      </c>
      <c r="H3" s="33">
        <f>_xlfn.STDEV.S(C2:C4)</f>
        <v>0.16258331197676187</v>
      </c>
      <c r="I3" s="59">
        <f t="shared" ref="I3:I52" si="1">C3*1000/(F3)</f>
        <v>654.47630662580048</v>
      </c>
      <c r="J3" s="38" t="s">
        <v>120</v>
      </c>
      <c r="K3" s="33">
        <f>_xlfn.STDEV.S(I2:I4)</f>
        <v>10.014577891134831</v>
      </c>
    </row>
    <row r="4" spans="1:11" ht="15" thickBot="1" x14ac:dyDescent="0.35">
      <c r="B4" t="s">
        <v>122</v>
      </c>
      <c r="C4" s="45">
        <v>27.5</v>
      </c>
      <c r="D4" s="45">
        <f>(24.79+24.87+24.99)/3</f>
        <v>24.883333333333329</v>
      </c>
      <c r="E4" s="45">
        <f>(1.68+1.7+1.7)/3</f>
        <v>1.6933333333333334</v>
      </c>
      <c r="F4" s="39">
        <f t="shared" si="0"/>
        <v>42.135777777777768</v>
      </c>
      <c r="H4" s="45"/>
      <c r="I4" s="59">
        <f t="shared" si="1"/>
        <v>652.65200858599985</v>
      </c>
      <c r="K4" s="45"/>
    </row>
    <row r="5" spans="1:11" ht="15" thickBot="1" x14ac:dyDescent="0.35">
      <c r="A5" s="29">
        <v>1</v>
      </c>
      <c r="B5" s="30" t="s">
        <v>82</v>
      </c>
      <c r="C5" s="54">
        <v>22.05</v>
      </c>
      <c r="D5" s="55">
        <v>25.857500000000002</v>
      </c>
      <c r="E5" s="55">
        <v>1.6425000000000001</v>
      </c>
      <c r="F5" s="55">
        <f>D5*E5</f>
        <v>42.470943750000004</v>
      </c>
      <c r="G5" s="36" t="s">
        <v>119</v>
      </c>
      <c r="H5" s="54">
        <f>AVERAGE(C5:C10)</f>
        <v>22.234999999999999</v>
      </c>
      <c r="I5" s="59">
        <f t="shared" si="1"/>
        <v>519.17847952224975</v>
      </c>
      <c r="J5" s="36" t="s">
        <v>119</v>
      </c>
      <c r="K5" s="54">
        <f>AVERAGE(I5:I10)</f>
        <v>530.46230681740838</v>
      </c>
    </row>
    <row r="6" spans="1:11" ht="15" thickBot="1" x14ac:dyDescent="0.35">
      <c r="A6" s="31">
        <v>2</v>
      </c>
      <c r="B6" s="32" t="s">
        <v>83</v>
      </c>
      <c r="C6" s="33">
        <v>23.02</v>
      </c>
      <c r="D6" s="39">
        <v>24.984999999999999</v>
      </c>
      <c r="E6" s="39">
        <v>1.6300000000000001</v>
      </c>
      <c r="F6" s="39">
        <f t="shared" ref="F6:F21" si="2">D6*E6</f>
        <v>40.725550000000005</v>
      </c>
      <c r="G6" s="38" t="s">
        <v>120</v>
      </c>
      <c r="H6" s="33">
        <f>_xlfn.STDEV.S(C5:C10)</f>
        <v>0.73025338068371837</v>
      </c>
      <c r="I6" s="59">
        <f t="shared" si="1"/>
        <v>565.24712373436319</v>
      </c>
      <c r="J6" s="38" t="s">
        <v>120</v>
      </c>
      <c r="K6" s="33">
        <f>_xlfn.STDEV.S(I5:I10)</f>
        <v>27.641906188440114</v>
      </c>
    </row>
    <row r="7" spans="1:11" ht="15" thickBot="1" x14ac:dyDescent="0.35">
      <c r="A7" s="31">
        <v>3</v>
      </c>
      <c r="B7" s="32" t="s">
        <v>84</v>
      </c>
      <c r="C7" s="33">
        <v>21.19</v>
      </c>
      <c r="D7" s="39">
        <v>24.795000000000002</v>
      </c>
      <c r="E7" s="39">
        <v>1.7024999999999999</v>
      </c>
      <c r="F7" s="39">
        <f t="shared" si="2"/>
        <v>42.213487499999999</v>
      </c>
      <c r="G7" s="38"/>
      <c r="H7" s="33"/>
      <c r="I7" s="59">
        <f t="shared" si="1"/>
        <v>501.97226656527727</v>
      </c>
      <c r="J7" s="38"/>
      <c r="K7" s="33"/>
    </row>
    <row r="8" spans="1:11" ht="15" thickBot="1" x14ac:dyDescent="0.35">
      <c r="A8" s="31">
        <v>4</v>
      </c>
      <c r="B8" s="32" t="s">
        <v>85</v>
      </c>
      <c r="C8" s="33">
        <v>22.59</v>
      </c>
      <c r="D8" s="39">
        <v>25.69</v>
      </c>
      <c r="E8" s="39">
        <v>1.6399999999999997</v>
      </c>
      <c r="F8" s="39">
        <f t="shared" si="2"/>
        <v>42.131599999999992</v>
      </c>
      <c r="G8" s="38"/>
      <c r="H8" s="33"/>
      <c r="I8" s="59">
        <f t="shared" si="1"/>
        <v>536.1771212106828</v>
      </c>
      <c r="J8" s="38"/>
      <c r="K8" s="33"/>
    </row>
    <row r="9" spans="1:11" ht="15" thickBot="1" x14ac:dyDescent="0.35">
      <c r="A9" s="31">
        <v>5</v>
      </c>
      <c r="B9" s="32" t="s">
        <v>86</v>
      </c>
      <c r="C9" s="33">
        <v>21.65</v>
      </c>
      <c r="D9" s="39">
        <v>26.0075</v>
      </c>
      <c r="E9" s="39">
        <v>1.66</v>
      </c>
      <c r="F9" s="39">
        <f t="shared" si="2"/>
        <v>43.172449999999998</v>
      </c>
      <c r="G9" s="38"/>
      <c r="H9" s="33"/>
      <c r="I9" s="59">
        <f t="shared" si="1"/>
        <v>501.47721521479559</v>
      </c>
      <c r="J9" s="38"/>
      <c r="K9" s="33"/>
    </row>
    <row r="10" spans="1:11" ht="15" thickBot="1" x14ac:dyDescent="0.35">
      <c r="A10" s="34">
        <v>6</v>
      </c>
      <c r="B10" s="35" t="s">
        <v>87</v>
      </c>
      <c r="C10" s="56">
        <v>22.91</v>
      </c>
      <c r="D10" s="39">
        <v>25.1175</v>
      </c>
      <c r="E10" s="39">
        <v>1.6324999999999998</v>
      </c>
      <c r="F10" s="57">
        <f t="shared" si="2"/>
        <v>41.004318749999996</v>
      </c>
      <c r="G10" s="38"/>
      <c r="H10" s="33"/>
      <c r="I10" s="59">
        <f t="shared" si="1"/>
        <v>558.72163465708115</v>
      </c>
      <c r="J10" s="38"/>
      <c r="K10" s="33"/>
    </row>
    <row r="11" spans="1:11" ht="15" thickBot="1" x14ac:dyDescent="0.35">
      <c r="A11" s="29">
        <v>7</v>
      </c>
      <c r="B11" s="30" t="s">
        <v>88</v>
      </c>
      <c r="C11" s="54">
        <v>12.75</v>
      </c>
      <c r="D11" s="55">
        <v>25.5425</v>
      </c>
      <c r="E11" s="55">
        <v>1.6950000000000001</v>
      </c>
      <c r="F11" s="55">
        <f>D11*E11</f>
        <v>43.294537500000004</v>
      </c>
      <c r="G11" s="36" t="s">
        <v>119</v>
      </c>
      <c r="H11" s="54">
        <f>AVERAGE(C11:C16)</f>
        <v>13.97</v>
      </c>
      <c r="I11" s="59">
        <f t="shared" si="1"/>
        <v>294.4944266929748</v>
      </c>
      <c r="J11" s="36" t="s">
        <v>119</v>
      </c>
      <c r="K11" s="54">
        <f>AVERAGE(I11:I16)</f>
        <v>326.83715670455069</v>
      </c>
    </row>
    <row r="12" spans="1:11" ht="15" thickBot="1" x14ac:dyDescent="0.35">
      <c r="A12" s="31">
        <v>8</v>
      </c>
      <c r="B12" s="32" t="s">
        <v>89</v>
      </c>
      <c r="C12" s="33">
        <v>13.81</v>
      </c>
      <c r="D12" s="39">
        <v>25.720000000000002</v>
      </c>
      <c r="E12" s="39">
        <v>1.6400000000000001</v>
      </c>
      <c r="F12" s="39">
        <f t="shared" si="2"/>
        <v>42.180800000000005</v>
      </c>
      <c r="G12" s="38" t="s">
        <v>120</v>
      </c>
      <c r="H12" s="33">
        <f>_xlfn.STDEV.S(C11:C16)</f>
        <v>1.3917614738165447</v>
      </c>
      <c r="I12" s="59">
        <f t="shared" si="1"/>
        <v>327.40014414141029</v>
      </c>
      <c r="J12" s="38" t="s">
        <v>120</v>
      </c>
      <c r="K12" s="33">
        <f>_xlfn.STDEV.S(I11:I16)</f>
        <v>31.991780310166224</v>
      </c>
    </row>
    <row r="13" spans="1:11" ht="15" thickBot="1" x14ac:dyDescent="0.35">
      <c r="A13" s="31">
        <v>9</v>
      </c>
      <c r="B13" s="32" t="s">
        <v>90</v>
      </c>
      <c r="C13" s="33">
        <v>13.82</v>
      </c>
      <c r="D13" s="39">
        <v>25.47</v>
      </c>
      <c r="E13" s="39">
        <v>1.7075</v>
      </c>
      <c r="F13" s="39">
        <f t="shared" si="2"/>
        <v>43.490024999999996</v>
      </c>
      <c r="G13" s="38"/>
      <c r="H13" s="33"/>
      <c r="I13" s="59">
        <f t="shared" si="1"/>
        <v>317.77401829499985</v>
      </c>
      <c r="J13" s="38"/>
      <c r="K13" s="33"/>
    </row>
    <row r="14" spans="1:11" ht="15" thickBot="1" x14ac:dyDescent="0.35">
      <c r="A14" s="31">
        <v>10</v>
      </c>
      <c r="B14" s="32" t="s">
        <v>91</v>
      </c>
      <c r="C14" s="33">
        <v>16.64</v>
      </c>
      <c r="D14" s="39">
        <v>25.4725</v>
      </c>
      <c r="E14" s="39">
        <v>1.6850000000000001</v>
      </c>
      <c r="F14" s="39">
        <f t="shared" si="2"/>
        <v>42.921162500000001</v>
      </c>
      <c r="G14" s="38"/>
      <c r="H14" s="33"/>
      <c r="I14" s="59">
        <f t="shared" si="1"/>
        <v>387.68754224678793</v>
      </c>
      <c r="J14" s="38"/>
      <c r="K14" s="33"/>
    </row>
    <row r="15" spans="1:11" ht="15" thickBot="1" x14ac:dyDescent="0.35">
      <c r="A15" s="31">
        <v>11</v>
      </c>
      <c r="B15" s="32" t="s">
        <v>92</v>
      </c>
      <c r="C15" s="33">
        <v>13.83</v>
      </c>
      <c r="D15" s="39">
        <v>25.997499999999999</v>
      </c>
      <c r="E15" s="39">
        <v>1.6449999999999998</v>
      </c>
      <c r="F15" s="39">
        <f t="shared" si="2"/>
        <v>42.765887499999991</v>
      </c>
      <c r="G15" s="38"/>
      <c r="H15" s="33"/>
      <c r="I15" s="59">
        <f t="shared" si="1"/>
        <v>323.38858862685834</v>
      </c>
      <c r="J15" s="38"/>
      <c r="K15" s="33"/>
    </row>
    <row r="16" spans="1:11" ht="15" thickBot="1" x14ac:dyDescent="0.35">
      <c r="A16" s="34">
        <v>12</v>
      </c>
      <c r="B16" s="35" t="s">
        <v>93</v>
      </c>
      <c r="C16" s="56">
        <v>12.97</v>
      </c>
      <c r="D16" s="57">
        <v>25.372499999999999</v>
      </c>
      <c r="E16" s="57">
        <v>1.6475</v>
      </c>
      <c r="F16" s="57">
        <f>D16*E16</f>
        <v>41.801193749999996</v>
      </c>
      <c r="G16" s="37"/>
      <c r="H16" s="56"/>
      <c r="I16" s="59">
        <f t="shared" si="1"/>
        <v>310.27822022427296</v>
      </c>
      <c r="J16" s="38"/>
      <c r="K16" s="33"/>
    </row>
    <row r="17" spans="1:11" ht="15" thickBot="1" x14ac:dyDescent="0.35">
      <c r="A17" s="29">
        <v>13</v>
      </c>
      <c r="B17" s="30" t="s">
        <v>94</v>
      </c>
      <c r="C17" s="54">
        <v>9.8059999999999992</v>
      </c>
      <c r="D17" s="39">
        <v>25.202499999999997</v>
      </c>
      <c r="E17" s="39">
        <v>1.6549999999999998</v>
      </c>
      <c r="F17" s="55">
        <f>D17*E17</f>
        <v>41.710137499999988</v>
      </c>
      <c r="G17" s="38" t="s">
        <v>119</v>
      </c>
      <c r="H17" s="33">
        <f>AVERAGE(C17:C22)</f>
        <v>8.8826666666666654</v>
      </c>
      <c r="I17" s="59">
        <f t="shared" si="1"/>
        <v>235.0987215038551</v>
      </c>
      <c r="J17" s="36" t="s">
        <v>119</v>
      </c>
      <c r="K17" s="54">
        <f>AVERAGE(I17:I22)</f>
        <v>208.30911981676863</v>
      </c>
    </row>
    <row r="18" spans="1:11" ht="15" thickBot="1" x14ac:dyDescent="0.35">
      <c r="A18" s="31">
        <v>14</v>
      </c>
      <c r="B18" s="32" t="s">
        <v>95</v>
      </c>
      <c r="C18" s="33">
        <v>10.11</v>
      </c>
      <c r="D18" s="39">
        <v>25.265000000000001</v>
      </c>
      <c r="E18" s="39">
        <v>1.72</v>
      </c>
      <c r="F18" s="39">
        <f t="shared" si="2"/>
        <v>43.455800000000004</v>
      </c>
      <c r="G18" s="38" t="s">
        <v>120</v>
      </c>
      <c r="H18" s="33">
        <f>_xlfn.STDEV.S(C17:C22)</f>
        <v>1.476735137614968</v>
      </c>
      <c r="I18" s="59">
        <f t="shared" si="1"/>
        <v>232.65018708664894</v>
      </c>
      <c r="J18" s="38" t="s">
        <v>120</v>
      </c>
      <c r="K18" s="33">
        <f>_xlfn.STDEV.S(I17:I22)</f>
        <v>35.163901777726473</v>
      </c>
    </row>
    <row r="19" spans="1:11" ht="15" thickBot="1" x14ac:dyDescent="0.35">
      <c r="A19" s="31">
        <v>15</v>
      </c>
      <c r="B19" s="32" t="s">
        <v>96</v>
      </c>
      <c r="C19" s="33">
        <v>6.13</v>
      </c>
      <c r="D19" s="39">
        <v>25.2075</v>
      </c>
      <c r="E19" s="39">
        <v>1.7174999999999998</v>
      </c>
      <c r="F19" s="39">
        <f t="shared" si="2"/>
        <v>43.293881249999991</v>
      </c>
      <c r="G19" s="38"/>
      <c r="H19" s="33"/>
      <c r="I19" s="59">
        <f t="shared" si="1"/>
        <v>141.59044703343619</v>
      </c>
      <c r="J19" s="38"/>
      <c r="K19" s="33"/>
    </row>
    <row r="20" spans="1:11" ht="15" thickBot="1" x14ac:dyDescent="0.35">
      <c r="A20" s="31">
        <v>16</v>
      </c>
      <c r="B20" s="32" t="s">
        <v>97</v>
      </c>
      <c r="C20" s="33">
        <v>8.34</v>
      </c>
      <c r="D20" s="39">
        <v>25.47</v>
      </c>
      <c r="E20" s="39">
        <v>1.6475</v>
      </c>
      <c r="F20" s="39">
        <f t="shared" si="2"/>
        <v>41.961824999999997</v>
      </c>
      <c r="G20" s="38"/>
      <c r="H20" s="33"/>
      <c r="I20" s="59">
        <f t="shared" si="1"/>
        <v>198.75208001558562</v>
      </c>
      <c r="J20" s="38"/>
      <c r="K20" s="33"/>
    </row>
    <row r="21" spans="1:11" ht="15" thickBot="1" x14ac:dyDescent="0.35">
      <c r="A21" s="31">
        <v>17</v>
      </c>
      <c r="B21" s="32" t="s">
        <v>98</v>
      </c>
      <c r="C21" s="33">
        <v>9.5500000000000007</v>
      </c>
      <c r="D21" s="39">
        <v>25.86</v>
      </c>
      <c r="E21" s="39">
        <v>1.6524999999999999</v>
      </c>
      <c r="F21" s="39">
        <f t="shared" si="2"/>
        <v>42.733649999999997</v>
      </c>
      <c r="G21" s="38"/>
      <c r="H21" s="33"/>
      <c r="I21" s="59">
        <f t="shared" si="1"/>
        <v>223.47728312465705</v>
      </c>
      <c r="J21" s="38"/>
      <c r="K21" s="33"/>
    </row>
    <row r="22" spans="1:11" ht="15" thickBot="1" x14ac:dyDescent="0.35">
      <c r="A22" s="34">
        <v>18</v>
      </c>
      <c r="B22" s="35" t="s">
        <v>99</v>
      </c>
      <c r="C22" s="56">
        <v>9.36</v>
      </c>
      <c r="D22" s="39">
        <v>25.372500000000002</v>
      </c>
      <c r="E22" s="39">
        <v>1.69</v>
      </c>
      <c r="F22" s="57">
        <f>D22*E22</f>
        <v>42.879525000000001</v>
      </c>
      <c r="G22" s="38"/>
      <c r="H22" s="33"/>
      <c r="I22" s="59">
        <f t="shared" si="1"/>
        <v>218.28600013642875</v>
      </c>
      <c r="J22" s="38"/>
      <c r="K22" s="33"/>
    </row>
    <row r="23" spans="1:11" ht="15" thickBot="1" x14ac:dyDescent="0.35">
      <c r="A23" s="29">
        <v>19</v>
      </c>
      <c r="B23" s="30" t="s">
        <v>100</v>
      </c>
      <c r="C23" s="54">
        <v>6.49</v>
      </c>
      <c r="D23" s="55">
        <v>25.934999999999999</v>
      </c>
      <c r="E23" s="55">
        <v>1.6375000000000002</v>
      </c>
      <c r="F23" s="55">
        <f>D23*E23</f>
        <v>42.468562500000004</v>
      </c>
      <c r="G23" s="36" t="s">
        <v>119</v>
      </c>
      <c r="H23" s="54">
        <f>AVERAGE(C23:C28)</f>
        <v>4.8133333333333335</v>
      </c>
      <c r="I23" s="59">
        <f t="shared" si="1"/>
        <v>152.81892340952203</v>
      </c>
      <c r="J23" s="36" t="s">
        <v>119</v>
      </c>
      <c r="K23" s="54">
        <f>AVERAGE(I23:I28)</f>
        <v>113.4562648407</v>
      </c>
    </row>
    <row r="24" spans="1:11" ht="15" thickBot="1" x14ac:dyDescent="0.35">
      <c r="A24" s="31">
        <v>20</v>
      </c>
      <c r="B24" s="32" t="s">
        <v>101</v>
      </c>
      <c r="C24" s="33">
        <v>5.18</v>
      </c>
      <c r="D24" s="39">
        <v>26.077500000000001</v>
      </c>
      <c r="E24" s="39">
        <v>1.665</v>
      </c>
      <c r="F24" s="39">
        <f t="shared" ref="F24:F27" si="3">D24*E24</f>
        <v>43.419037500000002</v>
      </c>
      <c r="G24" s="38" t="s">
        <v>120</v>
      </c>
      <c r="H24" s="33">
        <f>_xlfn.STDEV.S(C23:C28)</f>
        <v>0.98087036180458886</v>
      </c>
      <c r="I24" s="59">
        <f t="shared" si="1"/>
        <v>119.30250641783572</v>
      </c>
      <c r="J24" s="38" t="s">
        <v>120</v>
      </c>
      <c r="K24" s="33">
        <f>_xlfn.STDEV.S(I23:I28)</f>
        <v>21.821494970568072</v>
      </c>
    </row>
    <row r="25" spans="1:11" ht="15" thickBot="1" x14ac:dyDescent="0.35">
      <c r="A25" s="31">
        <v>21</v>
      </c>
      <c r="B25" s="32" t="s">
        <v>102</v>
      </c>
      <c r="C25" s="33">
        <v>4.63</v>
      </c>
      <c r="D25" s="39">
        <v>25.975000000000001</v>
      </c>
      <c r="E25" s="39">
        <v>1.645</v>
      </c>
      <c r="F25" s="39">
        <f t="shared" si="3"/>
        <v>42.728875000000002</v>
      </c>
      <c r="G25" s="38"/>
      <c r="H25" s="33"/>
      <c r="I25" s="59">
        <f t="shared" si="1"/>
        <v>108.35763871620772</v>
      </c>
      <c r="J25" s="38"/>
      <c r="K25" s="33"/>
    </row>
    <row r="26" spans="1:11" ht="15" thickBot="1" x14ac:dyDescent="0.35">
      <c r="A26" s="31">
        <v>22</v>
      </c>
      <c r="B26" s="32" t="s">
        <v>103</v>
      </c>
      <c r="C26" s="33">
        <v>4.62</v>
      </c>
      <c r="D26" s="39">
        <v>25.922499999999999</v>
      </c>
      <c r="E26" s="39">
        <v>1.6549999999999998</v>
      </c>
      <c r="F26" s="39">
        <f t="shared" si="3"/>
        <v>42.901737499999996</v>
      </c>
      <c r="G26" s="38"/>
      <c r="H26" s="33"/>
      <c r="I26" s="59">
        <f t="shared" si="1"/>
        <v>107.68794620497597</v>
      </c>
      <c r="J26" s="38"/>
      <c r="K26" s="33"/>
    </row>
    <row r="27" spans="1:11" ht="15" thickBot="1" x14ac:dyDescent="0.35">
      <c r="A27" s="31">
        <v>23</v>
      </c>
      <c r="B27" s="32" t="s">
        <v>104</v>
      </c>
      <c r="C27" s="33">
        <v>4.43</v>
      </c>
      <c r="D27" s="39">
        <v>25.594999999999999</v>
      </c>
      <c r="E27" s="39">
        <v>1.6499999999999997</v>
      </c>
      <c r="F27" s="39">
        <f t="shared" si="3"/>
        <v>42.231749999999991</v>
      </c>
      <c r="G27" s="38"/>
      <c r="H27" s="33"/>
      <c r="I27" s="59">
        <f t="shared" si="1"/>
        <v>104.89738170925905</v>
      </c>
      <c r="J27" s="38"/>
      <c r="K27" s="33"/>
    </row>
    <row r="28" spans="1:11" ht="15" thickBot="1" x14ac:dyDescent="0.35">
      <c r="A28" s="34">
        <v>24</v>
      </c>
      <c r="B28" s="35" t="s">
        <v>105</v>
      </c>
      <c r="C28" s="56">
        <v>3.53</v>
      </c>
      <c r="D28" s="57">
        <v>24.365000000000002</v>
      </c>
      <c r="E28" s="57">
        <v>1.6524999999999999</v>
      </c>
      <c r="F28" s="57">
        <f>D28*E28</f>
        <v>40.2631625</v>
      </c>
      <c r="G28" s="37"/>
      <c r="H28" s="56"/>
      <c r="I28" s="59">
        <f t="shared" si="1"/>
        <v>87.673192586399537</v>
      </c>
      <c r="J28" s="37"/>
      <c r="K28" s="56"/>
    </row>
    <row r="29" spans="1:11" ht="15" thickBot="1" x14ac:dyDescent="0.35">
      <c r="A29" s="29">
        <v>25</v>
      </c>
      <c r="B29" s="30" t="s">
        <v>106</v>
      </c>
      <c r="C29" s="54">
        <v>5.47</v>
      </c>
      <c r="D29" s="39">
        <v>25.902500000000003</v>
      </c>
      <c r="E29" s="39">
        <v>1.655</v>
      </c>
      <c r="F29" s="58">
        <f>D29*E29</f>
        <v>42.868637500000006</v>
      </c>
      <c r="G29" s="38" t="s">
        <v>119</v>
      </c>
      <c r="H29" s="33">
        <f>AVERAGE(C29:C30)</f>
        <v>4.83</v>
      </c>
      <c r="I29" s="59">
        <f t="shared" si="1"/>
        <v>127.59911018865481</v>
      </c>
      <c r="J29" s="38" t="s">
        <v>119</v>
      </c>
      <c r="K29" s="33">
        <f>AVERAGE(I29:I30)</f>
        <v>110.93264815012668</v>
      </c>
    </row>
    <row r="30" spans="1:11" ht="15" thickBot="1" x14ac:dyDescent="0.35">
      <c r="A30" s="34">
        <v>26</v>
      </c>
      <c r="B30" s="35" t="s">
        <v>107</v>
      </c>
      <c r="C30" s="56">
        <v>4.1900000000000004</v>
      </c>
      <c r="D30" s="39">
        <v>26.457500000000003</v>
      </c>
      <c r="E30" s="39">
        <v>1.6799999999999997</v>
      </c>
      <c r="F30" s="57">
        <f>D30*E30</f>
        <v>44.448599999999999</v>
      </c>
      <c r="G30" s="38" t="s">
        <v>120</v>
      </c>
      <c r="H30" s="33">
        <f>_xlfn.STDEV.S(C29:C30)</f>
        <v>0.90509667991878207</v>
      </c>
      <c r="I30" s="59">
        <f t="shared" si="1"/>
        <v>94.266186111598572</v>
      </c>
      <c r="J30" s="38" t="s">
        <v>120</v>
      </c>
      <c r="K30" s="33">
        <f>_xlfn.STDEV.S(I29:I30)</f>
        <v>23.569936651662815</v>
      </c>
    </row>
    <row r="31" spans="1:11" ht="15" thickBot="1" x14ac:dyDescent="0.35">
      <c r="A31" s="29">
        <v>27</v>
      </c>
      <c r="B31" s="30" t="s">
        <v>108</v>
      </c>
      <c r="C31" s="54">
        <v>4.1900000000000004</v>
      </c>
      <c r="D31" s="55">
        <v>25.8125</v>
      </c>
      <c r="E31" s="55">
        <v>1.655</v>
      </c>
      <c r="F31" s="58">
        <f t="shared" ref="F31:F52" si="4">D31*E31</f>
        <v>42.719687499999999</v>
      </c>
      <c r="G31" s="36" t="s">
        <v>119</v>
      </c>
      <c r="H31" s="54">
        <f>AVERAGE(C31:C32)</f>
        <v>3.8550000000000004</v>
      </c>
      <c r="I31" s="59">
        <f t="shared" si="1"/>
        <v>98.081241816200091</v>
      </c>
      <c r="J31" s="36" t="s">
        <v>119</v>
      </c>
      <c r="K31" s="54">
        <f>AVERAGE(I31:I32)</f>
        <v>90.746831460482227</v>
      </c>
    </row>
    <row r="32" spans="1:11" ht="15" thickBot="1" x14ac:dyDescent="0.35">
      <c r="A32" s="34">
        <v>28</v>
      </c>
      <c r="B32" s="35" t="s">
        <v>109</v>
      </c>
      <c r="C32" s="56">
        <v>3.52</v>
      </c>
      <c r="D32" s="57">
        <v>25.459999999999997</v>
      </c>
      <c r="E32" s="57">
        <v>1.6574999999999998</v>
      </c>
      <c r="F32" s="57">
        <f t="shared" si="4"/>
        <v>42.199949999999987</v>
      </c>
      <c r="G32" s="37" t="s">
        <v>120</v>
      </c>
      <c r="H32" s="56">
        <f>_xlfn.STDEV.S(C31:C32)</f>
        <v>0.47376154339498711</v>
      </c>
      <c r="I32" s="59">
        <f t="shared" si="1"/>
        <v>83.412421104764363</v>
      </c>
      <c r="J32" s="37" t="s">
        <v>120</v>
      </c>
      <c r="K32" s="56">
        <f>_xlfn.STDEV.S(I31:I32)</f>
        <v>10.37242259706588</v>
      </c>
    </row>
    <row r="33" spans="1:11" ht="15" thickBot="1" x14ac:dyDescent="0.35">
      <c r="A33" s="29">
        <v>29</v>
      </c>
      <c r="B33" s="30" t="s">
        <v>110</v>
      </c>
      <c r="C33" s="54">
        <v>3.09</v>
      </c>
      <c r="D33" s="39">
        <v>26.055</v>
      </c>
      <c r="E33" s="39">
        <v>1.6575</v>
      </c>
      <c r="F33" s="58">
        <f t="shared" si="4"/>
        <v>43.186162500000002</v>
      </c>
      <c r="G33" s="38" t="s">
        <v>119</v>
      </c>
      <c r="H33" s="33">
        <f>AVERAGE(C33:C34)</f>
        <v>3.0549999999999997</v>
      </c>
      <c r="I33" s="59">
        <f t="shared" si="1"/>
        <v>71.550696360205649</v>
      </c>
      <c r="J33" s="38" t="s">
        <v>119</v>
      </c>
      <c r="K33" s="33">
        <f>AVERAGE(I33:I34)</f>
        <v>72.551515275418865</v>
      </c>
    </row>
    <row r="34" spans="1:11" ht="15" thickBot="1" x14ac:dyDescent="0.35">
      <c r="A34" s="34">
        <v>30</v>
      </c>
      <c r="B34" s="35" t="s">
        <v>111</v>
      </c>
      <c r="C34" s="56">
        <v>3.02</v>
      </c>
      <c r="D34" s="39">
        <v>24.96</v>
      </c>
      <c r="E34" s="39">
        <v>1.6449999999999998</v>
      </c>
      <c r="F34" s="57">
        <f t="shared" si="4"/>
        <v>41.059199999999997</v>
      </c>
      <c r="G34" s="38" t="s">
        <v>120</v>
      </c>
      <c r="H34" s="33">
        <f>_xlfn.STDEV.S(C33:C34)</f>
        <v>4.9497474683058214E-2</v>
      </c>
      <c r="I34" s="59">
        <f t="shared" si="1"/>
        <v>73.552334190632067</v>
      </c>
      <c r="J34" s="38" t="s">
        <v>120</v>
      </c>
      <c r="K34" s="33">
        <f>_xlfn.STDEV.S(I33:I34)</f>
        <v>1.4153716833740488</v>
      </c>
    </row>
    <row r="35" spans="1:11" ht="15" thickBot="1" x14ac:dyDescent="0.35">
      <c r="A35" s="29">
        <v>31</v>
      </c>
      <c r="B35" s="30" t="s">
        <v>112</v>
      </c>
      <c r="C35" s="54">
        <v>2.69</v>
      </c>
      <c r="D35" s="55">
        <v>25.59</v>
      </c>
      <c r="E35" s="55">
        <v>1.65</v>
      </c>
      <c r="F35" s="58">
        <f t="shared" si="4"/>
        <v>42.223499999999994</v>
      </c>
      <c r="G35" s="36" t="s">
        <v>119</v>
      </c>
      <c r="H35" s="54">
        <f>AVERAGE(C35:C36)</f>
        <v>2.99</v>
      </c>
      <c r="I35" s="59">
        <f t="shared" si="1"/>
        <v>63.708598292420106</v>
      </c>
      <c r="J35" s="36" t="s">
        <v>119</v>
      </c>
      <c r="K35" s="54">
        <f>AVERAGE(I35:I36)</f>
        <v>70.933850978583735</v>
      </c>
    </row>
    <row r="36" spans="1:11" ht="15" thickBot="1" x14ac:dyDescent="0.35">
      <c r="A36" s="34">
        <v>32</v>
      </c>
      <c r="B36" s="35" t="s">
        <v>113</v>
      </c>
      <c r="C36" s="56">
        <v>3.29</v>
      </c>
      <c r="D36" s="57">
        <v>25.549999999999997</v>
      </c>
      <c r="E36" s="57">
        <v>1.6475</v>
      </c>
      <c r="F36" s="57">
        <f t="shared" si="4"/>
        <v>42.093624999999996</v>
      </c>
      <c r="G36" s="37" t="s">
        <v>120</v>
      </c>
      <c r="H36" s="56">
        <f>_xlfn.STDEV.S(C35:C36)</f>
        <v>0.42426406871192857</v>
      </c>
      <c r="I36" s="59">
        <f t="shared" si="1"/>
        <v>78.159103664747349</v>
      </c>
      <c r="J36" s="37" t="s">
        <v>120</v>
      </c>
      <c r="K36" s="56">
        <f>_xlfn.STDEV.S(I35:I36)</f>
        <v>10.218050340345176</v>
      </c>
    </row>
    <row r="37" spans="1:11" ht="15" thickBot="1" x14ac:dyDescent="0.35">
      <c r="A37" s="29">
        <v>32</v>
      </c>
      <c r="B37" s="30" t="s">
        <v>114</v>
      </c>
      <c r="C37" s="54">
        <v>3.14</v>
      </c>
      <c r="D37" s="39">
        <v>25.217500000000001</v>
      </c>
      <c r="E37" s="39">
        <v>1.64</v>
      </c>
      <c r="F37" s="58">
        <f t="shared" si="4"/>
        <v>41.356699999999996</v>
      </c>
      <c r="G37" s="38" t="s">
        <v>119</v>
      </c>
      <c r="H37" s="33">
        <f>AVERAGE(C37:C38)</f>
        <v>3.1550000000000002</v>
      </c>
      <c r="I37" s="59">
        <f t="shared" si="1"/>
        <v>75.924819920351482</v>
      </c>
      <c r="J37" s="38" t="s">
        <v>119</v>
      </c>
      <c r="K37" s="33">
        <f>AVERAGE(I37:I38)</f>
        <v>75.474994278436299</v>
      </c>
    </row>
    <row r="38" spans="1:11" ht="15" thickBot="1" x14ac:dyDescent="0.35">
      <c r="A38" s="34">
        <v>32</v>
      </c>
      <c r="B38" s="35" t="s">
        <v>115</v>
      </c>
      <c r="C38" s="56">
        <v>3.17</v>
      </c>
      <c r="D38" s="39">
        <v>25.842499999999998</v>
      </c>
      <c r="E38" s="39">
        <v>1.635</v>
      </c>
      <c r="F38" s="57">
        <f t="shared" si="4"/>
        <v>42.252487499999994</v>
      </c>
      <c r="G38" s="38" t="s">
        <v>120</v>
      </c>
      <c r="H38" s="33">
        <f>_xlfn.STDEV.S(C37:C38)</f>
        <v>2.1213203435596288E-2</v>
      </c>
      <c r="I38" s="59">
        <f t="shared" si="1"/>
        <v>75.025168636521116</v>
      </c>
      <c r="J38" s="38" t="s">
        <v>120</v>
      </c>
      <c r="K38" s="33">
        <f>_xlfn.STDEV.S(I37:I38)</f>
        <v>0.63614952349963505</v>
      </c>
    </row>
    <row r="39" spans="1:11" ht="15" thickBot="1" x14ac:dyDescent="0.35">
      <c r="A39" s="29">
        <v>35</v>
      </c>
      <c r="B39" s="30" t="s">
        <v>116</v>
      </c>
      <c r="C39" s="54">
        <v>2.57</v>
      </c>
      <c r="D39" s="55">
        <v>25.61</v>
      </c>
      <c r="E39" s="55">
        <v>1.6575</v>
      </c>
      <c r="F39" s="58">
        <f t="shared" si="4"/>
        <v>42.448574999999998</v>
      </c>
      <c r="G39" s="36" t="s">
        <v>119</v>
      </c>
      <c r="H39" s="54">
        <f>AVERAGE(C39:C40)</f>
        <v>2.5999999999999996</v>
      </c>
      <c r="I39" s="59">
        <f t="shared" si="1"/>
        <v>60.543846289304177</v>
      </c>
      <c r="J39" s="36" t="s">
        <v>119</v>
      </c>
      <c r="K39" s="54">
        <f>AVERAGE(I39:I40)</f>
        <v>61.105454316707295</v>
      </c>
    </row>
    <row r="40" spans="1:11" ht="15" thickBot="1" x14ac:dyDescent="0.35">
      <c r="A40" s="34">
        <v>36</v>
      </c>
      <c r="B40" s="35" t="s">
        <v>117</v>
      </c>
      <c r="C40" s="56">
        <v>2.63</v>
      </c>
      <c r="D40" s="57">
        <v>25.847499999999997</v>
      </c>
      <c r="E40" s="57">
        <v>1.65</v>
      </c>
      <c r="F40" s="57">
        <f t="shared" si="4"/>
        <v>42.648374999999994</v>
      </c>
      <c r="G40" s="37" t="s">
        <v>120</v>
      </c>
      <c r="H40" s="56">
        <f>_xlfn.STDEV.S(C39:C40)</f>
        <v>4.2426406871192889E-2</v>
      </c>
      <c r="I40" s="59">
        <f t="shared" si="1"/>
        <v>61.66706234411042</v>
      </c>
      <c r="J40" s="37" t="s">
        <v>120</v>
      </c>
      <c r="K40" s="56">
        <f>_xlfn.STDEV.S(I39:I40)</f>
        <v>0.79423368909109482</v>
      </c>
    </row>
    <row r="41" spans="1:11" ht="15" thickBot="1" x14ac:dyDescent="0.35">
      <c r="A41" s="29">
        <v>36.266666666666701</v>
      </c>
      <c r="B41" s="30" t="s">
        <v>134</v>
      </c>
      <c r="C41" s="54">
        <v>3.75</v>
      </c>
      <c r="D41" s="55">
        <v>25.8675</v>
      </c>
      <c r="E41" s="55">
        <v>1.66</v>
      </c>
      <c r="F41" s="58">
        <f t="shared" si="4"/>
        <v>42.940049999999999</v>
      </c>
      <c r="G41" s="36" t="s">
        <v>119</v>
      </c>
      <c r="H41" s="54">
        <f>AVERAGE(C41:C42)</f>
        <v>3.4</v>
      </c>
      <c r="I41" s="59">
        <f t="shared" si="1"/>
        <v>87.331058068167138</v>
      </c>
      <c r="J41" s="36" t="s">
        <v>119</v>
      </c>
      <c r="K41" s="54">
        <f t="shared" ref="K41" si="5">AVERAGE(I41:I42)</f>
        <v>78.984564141204473</v>
      </c>
    </row>
    <row r="42" spans="1:11" ht="15" thickBot="1" x14ac:dyDescent="0.35">
      <c r="A42" s="34">
        <v>37.187878787878802</v>
      </c>
      <c r="B42" s="35" t="s">
        <v>135</v>
      </c>
      <c r="C42" s="56">
        <v>3.05</v>
      </c>
      <c r="D42" s="57">
        <v>25.854999999999997</v>
      </c>
      <c r="E42" s="57">
        <v>1.67</v>
      </c>
      <c r="F42" s="57">
        <f t="shared" si="4"/>
        <v>43.177849999999992</v>
      </c>
      <c r="G42" s="37" t="s">
        <v>120</v>
      </c>
      <c r="H42" s="56">
        <f>_xlfn.STDEV.S(C41:C42)</f>
        <v>0.49497474683058429</v>
      </c>
      <c r="I42" s="59">
        <f t="shared" si="1"/>
        <v>70.638070214241807</v>
      </c>
      <c r="J42" s="37" t="s">
        <v>120</v>
      </c>
      <c r="K42" s="56">
        <f t="shared" ref="K42" si="6">_xlfn.STDEV.S(I41:I42)</f>
        <v>11.803724909775351</v>
      </c>
    </row>
    <row r="43" spans="1:11" ht="15" thickBot="1" x14ac:dyDescent="0.35">
      <c r="A43" s="29">
        <v>38.109090909091002</v>
      </c>
      <c r="B43" s="30" t="s">
        <v>136</v>
      </c>
      <c r="C43" s="54">
        <v>2.92</v>
      </c>
      <c r="D43" s="55">
        <v>25.82</v>
      </c>
      <c r="E43" s="55">
        <v>1.65</v>
      </c>
      <c r="F43" s="58">
        <f t="shared" si="4"/>
        <v>42.603000000000002</v>
      </c>
      <c r="G43" s="36" t="s">
        <v>119</v>
      </c>
      <c r="H43" s="54">
        <f>AVERAGE(C43:C44)</f>
        <v>3.2149999999999999</v>
      </c>
      <c r="I43" s="59">
        <f t="shared" si="1"/>
        <v>68.539774194305565</v>
      </c>
      <c r="J43" s="36" t="s">
        <v>119</v>
      </c>
      <c r="K43" s="54">
        <f t="shared" ref="K43" si="7">AVERAGE(I43:I44)</f>
        <v>75.367569907929862</v>
      </c>
    </row>
    <row r="44" spans="1:11" ht="15" thickBot="1" x14ac:dyDescent="0.35">
      <c r="A44" s="34">
        <v>39.030303030303102</v>
      </c>
      <c r="B44" s="35" t="s">
        <v>137</v>
      </c>
      <c r="C44" s="56">
        <v>3.51</v>
      </c>
      <c r="D44" s="57">
        <v>25.802500000000002</v>
      </c>
      <c r="E44" s="57">
        <v>1.6549999999999998</v>
      </c>
      <c r="F44" s="57">
        <f t="shared" si="4"/>
        <v>42.703137499999997</v>
      </c>
      <c r="G44" s="37" t="s">
        <v>120</v>
      </c>
      <c r="H44" s="56">
        <f>_xlfn.STDEV.S(C43:C44)</f>
        <v>0.41719300090006295</v>
      </c>
      <c r="I44" s="59">
        <f t="shared" si="1"/>
        <v>82.19536562155416</v>
      </c>
      <c r="J44" s="37" t="s">
        <v>120</v>
      </c>
      <c r="K44" s="56">
        <f t="shared" ref="K44" si="8">_xlfn.STDEV.S(I43:I44)</f>
        <v>9.6559612993203672</v>
      </c>
    </row>
    <row r="45" spans="1:11" ht="15" thickBot="1" x14ac:dyDescent="0.35">
      <c r="A45" s="29">
        <v>39.951515151515203</v>
      </c>
      <c r="B45" s="30" t="s">
        <v>138</v>
      </c>
      <c r="C45" s="54">
        <v>3.61</v>
      </c>
      <c r="D45" s="55">
        <v>25.954999999999998</v>
      </c>
      <c r="E45" s="55">
        <v>1.64</v>
      </c>
      <c r="F45" s="58">
        <f t="shared" si="4"/>
        <v>42.566199999999995</v>
      </c>
      <c r="G45" s="36" t="s">
        <v>119</v>
      </c>
      <c r="H45" s="54">
        <f>AVERAGE(C45:C46)</f>
        <v>3.5049999999999999</v>
      </c>
      <c r="I45" s="59">
        <f t="shared" si="1"/>
        <v>84.809073866119135</v>
      </c>
      <c r="J45" s="36" t="s">
        <v>119</v>
      </c>
      <c r="K45" s="54">
        <f t="shared" ref="K45" si="9">AVERAGE(I45:I46)</f>
        <v>83.219105693378566</v>
      </c>
    </row>
    <row r="46" spans="1:11" ht="15" thickBot="1" x14ac:dyDescent="0.35">
      <c r="A46" s="34">
        <v>40.872727272727303</v>
      </c>
      <c r="B46" s="35" t="s">
        <v>139</v>
      </c>
      <c r="C46" s="56">
        <v>3.4</v>
      </c>
      <c r="D46" s="57">
        <v>25.592500000000001</v>
      </c>
      <c r="E46" s="57">
        <v>1.6274999999999999</v>
      </c>
      <c r="F46" s="57">
        <f t="shared" si="4"/>
        <v>41.651793750000003</v>
      </c>
      <c r="G46" s="37" t="s">
        <v>120</v>
      </c>
      <c r="H46" s="56">
        <f>_xlfn.STDEV.S(C45:C46)</f>
        <v>0.14849242404917495</v>
      </c>
      <c r="I46" s="59">
        <f t="shared" si="1"/>
        <v>81.629137520637983</v>
      </c>
      <c r="J46" s="37" t="s">
        <v>120</v>
      </c>
      <c r="K46" s="56">
        <f t="shared" ref="K46" si="10">_xlfn.STDEV.S(I45:I46)</f>
        <v>2.248554553631291</v>
      </c>
    </row>
    <row r="47" spans="1:11" ht="15" thickBot="1" x14ac:dyDescent="0.35">
      <c r="A47" s="29">
        <v>41.793939393939397</v>
      </c>
      <c r="B47" s="30" t="s">
        <v>140</v>
      </c>
      <c r="C47" s="54">
        <v>3.31</v>
      </c>
      <c r="D47" s="55">
        <v>25.57</v>
      </c>
      <c r="E47" s="55">
        <v>1.65</v>
      </c>
      <c r="F47" s="58">
        <f t="shared" si="4"/>
        <v>42.1905</v>
      </c>
      <c r="G47" s="36" t="s">
        <v>119</v>
      </c>
      <c r="H47" s="54">
        <f>AVERAGE(C47:C48)</f>
        <v>3.59</v>
      </c>
      <c r="I47" s="59">
        <f t="shared" si="1"/>
        <v>78.453680330880175</v>
      </c>
      <c r="J47" s="36" t="s">
        <v>119</v>
      </c>
      <c r="K47" s="54">
        <f t="shared" ref="K47" si="11">AVERAGE(I47:I48)</f>
        <v>84.956115764085951</v>
      </c>
    </row>
    <row r="48" spans="1:11" ht="15" thickBot="1" x14ac:dyDescent="0.35">
      <c r="A48" s="34">
        <v>42.715151515151597</v>
      </c>
      <c r="B48" s="35" t="s">
        <v>141</v>
      </c>
      <c r="C48" s="56">
        <v>3.87</v>
      </c>
      <c r="D48" s="57">
        <v>25.645</v>
      </c>
      <c r="E48" s="57">
        <v>1.65</v>
      </c>
      <c r="F48" s="57">
        <f t="shared" si="4"/>
        <v>42.314249999999994</v>
      </c>
      <c r="G48" s="37" t="s">
        <v>120</v>
      </c>
      <c r="H48" s="56">
        <f>_xlfn.STDEV.S(C47:C48)</f>
        <v>0.39597979746446665</v>
      </c>
      <c r="I48" s="59">
        <f t="shared" si="1"/>
        <v>91.458551197291712</v>
      </c>
      <c r="J48" s="37" t="s">
        <v>120</v>
      </c>
      <c r="K48" s="56">
        <f t="shared" ref="K48" si="12">_xlfn.STDEV.S(I47:I48)</f>
        <v>9.195832378094968</v>
      </c>
    </row>
    <row r="49" spans="1:11" ht="15" thickBot="1" x14ac:dyDescent="0.35">
      <c r="A49" s="29">
        <v>43.636363636363697</v>
      </c>
      <c r="B49" s="30" t="s">
        <v>142</v>
      </c>
      <c r="C49" s="54">
        <v>3.68</v>
      </c>
      <c r="D49" s="55">
        <v>25.5075</v>
      </c>
      <c r="E49" s="55">
        <v>1.65</v>
      </c>
      <c r="F49" s="58">
        <f t="shared" si="4"/>
        <v>42.087375000000002</v>
      </c>
      <c r="G49" s="36" t="s">
        <v>119</v>
      </c>
      <c r="H49" s="54">
        <f>AVERAGE(C49:C50)</f>
        <v>3.7050000000000001</v>
      </c>
      <c r="I49" s="59">
        <f t="shared" si="1"/>
        <v>87.437147125474084</v>
      </c>
      <c r="J49" s="36" t="s">
        <v>119</v>
      </c>
      <c r="K49" s="54">
        <f t="shared" ref="K49" si="13">AVERAGE(I49:I50)</f>
        <v>87.466183864185055</v>
      </c>
    </row>
    <row r="50" spans="1:11" ht="15" thickBot="1" x14ac:dyDescent="0.35">
      <c r="A50" s="34">
        <v>44.557575757575798</v>
      </c>
      <c r="B50" s="35" t="s">
        <v>143</v>
      </c>
      <c r="C50" s="56">
        <v>3.73</v>
      </c>
      <c r="D50" s="57">
        <v>25.72</v>
      </c>
      <c r="E50" s="57">
        <v>1.6575</v>
      </c>
      <c r="F50" s="57">
        <f t="shared" si="4"/>
        <v>42.630899999999997</v>
      </c>
      <c r="G50" s="37" t="s">
        <v>120</v>
      </c>
      <c r="H50" s="56">
        <f>_xlfn.STDEV.S(C49:C50)</f>
        <v>3.5355339059327251E-2</v>
      </c>
      <c r="I50" s="59">
        <f t="shared" si="1"/>
        <v>87.495220602896026</v>
      </c>
      <c r="J50" s="37" t="s">
        <v>120</v>
      </c>
      <c r="K50" s="56">
        <f t="shared" ref="K50" si="14">_xlfn.STDEV.S(I49:I50)</f>
        <v>4.1064149692139222E-2</v>
      </c>
    </row>
    <row r="51" spans="1:11" ht="15" thickBot="1" x14ac:dyDescent="0.35">
      <c r="A51" s="29">
        <v>45.478787878787799</v>
      </c>
      <c r="B51" s="30" t="s">
        <v>144</v>
      </c>
      <c r="C51" s="54">
        <v>3.93</v>
      </c>
      <c r="D51" s="55">
        <v>25.8325</v>
      </c>
      <c r="E51" s="55">
        <v>1.6724999999999999</v>
      </c>
      <c r="F51" s="58">
        <f t="shared" si="4"/>
        <v>43.204856249999999</v>
      </c>
      <c r="G51" s="36" t="s">
        <v>119</v>
      </c>
      <c r="H51" s="54">
        <f>AVERAGE(C51:C52)</f>
        <v>4.01</v>
      </c>
      <c r="I51" s="59">
        <f t="shared" si="1"/>
        <v>90.961996893578373</v>
      </c>
      <c r="J51" s="36" t="s">
        <v>119</v>
      </c>
      <c r="K51" s="54">
        <f t="shared" ref="K51" si="15">AVERAGE(I51:I52)</f>
        <v>95.116657238042563</v>
      </c>
    </row>
    <row r="52" spans="1:11" ht="15" thickBot="1" x14ac:dyDescent="0.35">
      <c r="A52" s="34">
        <v>46.399999999999899</v>
      </c>
      <c r="B52" s="35" t="s">
        <v>145</v>
      </c>
      <c r="C52" s="56">
        <v>4.09</v>
      </c>
      <c r="D52" s="57">
        <v>25.237499999999997</v>
      </c>
      <c r="E52" s="57">
        <v>1.6325000000000001</v>
      </c>
      <c r="F52" s="57">
        <f t="shared" si="4"/>
        <v>41.200218749999998</v>
      </c>
      <c r="G52" s="37" t="s">
        <v>120</v>
      </c>
      <c r="H52" s="56">
        <f>_xlfn.STDEV.S(C51:C52)</f>
        <v>0.1131370849898474</v>
      </c>
      <c r="I52" s="59">
        <f t="shared" si="1"/>
        <v>99.271317582506768</v>
      </c>
      <c r="J52" s="37" t="s">
        <v>120</v>
      </c>
      <c r="K52" s="56">
        <f t="shared" ref="K52" si="16">_xlfn.STDEV.S(I51:I52)</f>
        <v>5.8755770061949431</v>
      </c>
    </row>
    <row r="54" spans="1:11" x14ac:dyDescent="0.3">
      <c r="E54" s="45">
        <f>AVERAGE(E2:E52)</f>
        <v>1.6600000000000001</v>
      </c>
    </row>
  </sheetData>
  <mergeCells count="2">
    <mergeCell ref="G1:H1"/>
    <mergeCell ref="I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7"/>
  <sheetViews>
    <sheetView tabSelected="1" workbookViewId="0">
      <selection activeCell="I15" sqref="I15"/>
    </sheetView>
  </sheetViews>
  <sheetFormatPr baseColWidth="10" defaultColWidth="9.109375" defaultRowHeight="14.4" x14ac:dyDescent="0.3"/>
  <cols>
    <col min="1" max="1" width="17.33203125" bestFit="1" customWidth="1"/>
    <col min="2" max="2" width="17.33203125" customWidth="1"/>
    <col min="3" max="3" width="38.33203125" bestFit="1" customWidth="1"/>
    <col min="4" max="4" width="11.5546875" bestFit="1" customWidth="1"/>
    <col min="8" max="8" width="10.109375" bestFit="1" customWidth="1"/>
    <col min="9" max="11" width="10.109375" customWidth="1"/>
    <col min="12" max="12" width="19.109375" bestFit="1" customWidth="1"/>
    <col min="13" max="13" width="25" bestFit="1" customWidth="1"/>
  </cols>
  <sheetData>
    <row r="1" spans="1:13" x14ac:dyDescent="0.3">
      <c r="A1" s="5" t="s">
        <v>0</v>
      </c>
      <c r="B1" s="5" t="s">
        <v>39</v>
      </c>
      <c r="C1" s="5" t="s">
        <v>45</v>
      </c>
      <c r="D1" s="23">
        <v>14.551443518697926</v>
      </c>
      <c r="E1" s="15">
        <v>294.27</v>
      </c>
      <c r="F1" s="15">
        <v>2.8</v>
      </c>
      <c r="H1" t="s">
        <v>37</v>
      </c>
      <c r="I1" t="s">
        <v>71</v>
      </c>
      <c r="J1" t="s">
        <v>72</v>
      </c>
      <c r="K1" t="s">
        <v>74</v>
      </c>
      <c r="L1" t="s">
        <v>38</v>
      </c>
      <c r="M1" t="s">
        <v>73</v>
      </c>
    </row>
    <row r="2" spans="1:13" x14ac:dyDescent="0.3">
      <c r="A2" s="5" t="s">
        <v>15</v>
      </c>
      <c r="B2" s="5" t="s">
        <v>39</v>
      </c>
      <c r="C2" s="5" t="s">
        <v>45</v>
      </c>
      <c r="D2" s="23">
        <v>13.57915263251196</v>
      </c>
      <c r="E2" s="15">
        <v>353.34</v>
      </c>
      <c r="F2" s="15">
        <v>15.41</v>
      </c>
    </row>
    <row r="3" spans="1:13" x14ac:dyDescent="0.3">
      <c r="A3" s="5" t="s">
        <v>25</v>
      </c>
      <c r="B3" s="5" t="s">
        <v>39</v>
      </c>
      <c r="C3" s="5" t="s">
        <v>45</v>
      </c>
      <c r="D3" s="23">
        <v>10.299488677867053</v>
      </c>
      <c r="E3" s="16">
        <v>354.35</v>
      </c>
      <c r="F3" s="16">
        <v>6.56</v>
      </c>
    </row>
    <row r="4" spans="1:13" x14ac:dyDescent="0.3">
      <c r="A4" s="5" t="s">
        <v>26</v>
      </c>
      <c r="B4" s="5" t="s">
        <v>39</v>
      </c>
      <c r="C4" s="5" t="s">
        <v>45</v>
      </c>
      <c r="D4" s="23">
        <v>10.871143375680592</v>
      </c>
      <c r="E4" s="16">
        <v>397.4</v>
      </c>
      <c r="F4" s="16">
        <v>11.49</v>
      </c>
    </row>
    <row r="5" spans="1:13" x14ac:dyDescent="0.3">
      <c r="A5" s="6" t="s">
        <v>9</v>
      </c>
      <c r="B5" s="6" t="s">
        <v>39</v>
      </c>
      <c r="C5" s="6" t="s">
        <v>44</v>
      </c>
      <c r="D5" s="23">
        <v>8.3228005668543261</v>
      </c>
      <c r="E5" s="15">
        <v>346.88</v>
      </c>
      <c r="F5" s="15">
        <v>5.95</v>
      </c>
    </row>
    <row r="6" spans="1:13" x14ac:dyDescent="0.3">
      <c r="A6" s="6" t="s">
        <v>21</v>
      </c>
      <c r="B6" s="6" t="s">
        <v>39</v>
      </c>
      <c r="C6" s="6" t="s">
        <v>44</v>
      </c>
      <c r="D6" s="23">
        <v>8.7515489467162251</v>
      </c>
      <c r="E6" s="15">
        <v>355.55</v>
      </c>
      <c r="F6" s="15">
        <v>8.7899999999999991</v>
      </c>
    </row>
    <row r="7" spans="1:13" x14ac:dyDescent="0.3">
      <c r="A7" s="6" t="s">
        <v>22</v>
      </c>
      <c r="B7" s="6" t="s">
        <v>39</v>
      </c>
      <c r="C7" s="6" t="s">
        <v>44</v>
      </c>
      <c r="D7" s="23">
        <v>9.5543345543345541</v>
      </c>
      <c r="E7" s="17">
        <v>428.78</v>
      </c>
      <c r="F7" s="17">
        <v>9.94</v>
      </c>
    </row>
    <row r="8" spans="1:13" x14ac:dyDescent="0.3">
      <c r="A8" s="5" t="s">
        <v>10</v>
      </c>
      <c r="B8" s="5" t="s">
        <v>39</v>
      </c>
      <c r="C8" s="5" t="s">
        <v>41</v>
      </c>
      <c r="D8" s="23">
        <v>9.5246701608530557</v>
      </c>
      <c r="E8" s="18">
        <v>320.95</v>
      </c>
      <c r="F8" s="18">
        <v>5.2</v>
      </c>
    </row>
    <row r="9" spans="1:13" x14ac:dyDescent="0.3">
      <c r="A9" s="5" t="s">
        <v>23</v>
      </c>
      <c r="B9" s="5" t="s">
        <v>39</v>
      </c>
      <c r="C9" s="5" t="s">
        <v>41</v>
      </c>
      <c r="D9" s="23">
        <v>10.746483952398112</v>
      </c>
      <c r="E9" s="18">
        <v>294.29000000000002</v>
      </c>
      <c r="F9" s="18">
        <v>3.07</v>
      </c>
    </row>
    <row r="10" spans="1:13" x14ac:dyDescent="0.3">
      <c r="A10" s="5" t="s">
        <v>24</v>
      </c>
      <c r="B10" s="5" t="s">
        <v>39</v>
      </c>
      <c r="C10" s="5" t="s">
        <v>41</v>
      </c>
      <c r="D10" s="23">
        <v>10.748422001803437</v>
      </c>
      <c r="E10" s="19">
        <v>354.99</v>
      </c>
      <c r="F10" s="19">
        <v>3.65</v>
      </c>
    </row>
    <row r="11" spans="1:13" x14ac:dyDescent="0.3">
      <c r="A11" s="7" t="s">
        <v>3</v>
      </c>
      <c r="B11" s="5" t="s">
        <v>39</v>
      </c>
      <c r="C11" s="7" t="s">
        <v>66</v>
      </c>
      <c r="D11" s="23">
        <v>14.274471224790963</v>
      </c>
      <c r="E11" s="20">
        <v>134.19999999999999</v>
      </c>
      <c r="F11" s="20">
        <v>16.579999999999998</v>
      </c>
    </row>
    <row r="12" spans="1:13" x14ac:dyDescent="0.3">
      <c r="A12" s="8" t="s">
        <v>6</v>
      </c>
      <c r="B12" s="8" t="s">
        <v>48</v>
      </c>
      <c r="C12" s="9" t="s">
        <v>58</v>
      </c>
      <c r="D12" s="23">
        <v>6.889887170915177</v>
      </c>
      <c r="E12" s="21">
        <v>276.02</v>
      </c>
      <c r="F12" s="21">
        <v>5.57</v>
      </c>
    </row>
    <row r="13" spans="1:13" x14ac:dyDescent="0.3">
      <c r="A13" s="8" t="s">
        <v>28</v>
      </c>
      <c r="B13" s="8" t="s">
        <v>48</v>
      </c>
      <c r="C13" s="9" t="s">
        <v>58</v>
      </c>
      <c r="D13" s="23">
        <v>5.1632572777340684</v>
      </c>
      <c r="E13" s="21">
        <v>238.7</v>
      </c>
      <c r="F13" s="21">
        <v>2.84</v>
      </c>
    </row>
    <row r="14" spans="1:13" x14ac:dyDescent="0.3">
      <c r="A14" s="8" t="s">
        <v>30</v>
      </c>
      <c r="B14" s="8" t="s">
        <v>48</v>
      </c>
      <c r="C14" s="9" t="s">
        <v>59</v>
      </c>
      <c r="D14" s="23">
        <v>5.5126791620727644</v>
      </c>
      <c r="E14" s="20">
        <v>199.05</v>
      </c>
      <c r="F14" s="20">
        <v>14.51</v>
      </c>
    </row>
    <row r="15" spans="1:13" x14ac:dyDescent="0.3">
      <c r="A15" s="8" t="s">
        <v>5</v>
      </c>
      <c r="B15" s="8" t="s">
        <v>48</v>
      </c>
      <c r="C15" s="9" t="s">
        <v>60</v>
      </c>
      <c r="D15" s="23">
        <v>5.92517508293402</v>
      </c>
      <c r="E15" s="18">
        <v>262.52999999999997</v>
      </c>
      <c r="F15" s="18">
        <v>3.54</v>
      </c>
    </row>
    <row r="16" spans="1:13" x14ac:dyDescent="0.3">
      <c r="A16" s="8" t="s">
        <v>27</v>
      </c>
      <c r="B16" s="8" t="s">
        <v>48</v>
      </c>
      <c r="C16" s="9" t="s">
        <v>60</v>
      </c>
      <c r="D16" s="23">
        <v>5.4466993235362748</v>
      </c>
      <c r="E16" s="20">
        <v>232.01</v>
      </c>
      <c r="F16" s="20">
        <v>4.34</v>
      </c>
    </row>
    <row r="17" spans="1:6" x14ac:dyDescent="0.3">
      <c r="A17" s="8" t="s">
        <v>29</v>
      </c>
      <c r="B17" s="8" t="s">
        <v>48</v>
      </c>
      <c r="C17" s="9" t="s">
        <v>61</v>
      </c>
      <c r="D17" s="23">
        <v>5.331104300176448</v>
      </c>
      <c r="E17" s="20">
        <v>212.75</v>
      </c>
      <c r="F17" s="20">
        <v>7.64</v>
      </c>
    </row>
    <row r="18" spans="1:6" x14ac:dyDescent="0.3">
      <c r="A18" s="1" t="s">
        <v>34</v>
      </c>
      <c r="B18" s="1" t="s">
        <v>49</v>
      </c>
      <c r="C18" s="1" t="s">
        <v>50</v>
      </c>
      <c r="D18" s="23">
        <v>5.6902002107481753</v>
      </c>
      <c r="E18" s="18">
        <v>316.86</v>
      </c>
      <c r="F18" s="18">
        <v>6.97</v>
      </c>
    </row>
    <row r="19" spans="1:6" x14ac:dyDescent="0.3">
      <c r="A19" s="1" t="s">
        <v>2</v>
      </c>
      <c r="B19" s="1" t="s">
        <v>49</v>
      </c>
      <c r="C19" s="1" t="s">
        <v>51</v>
      </c>
      <c r="D19" s="23">
        <v>5.6290110569860108</v>
      </c>
      <c r="E19" s="18">
        <v>428.56</v>
      </c>
      <c r="F19" s="18">
        <v>9.67</v>
      </c>
    </row>
    <row r="20" spans="1:6" x14ac:dyDescent="0.3">
      <c r="A20" s="3" t="s">
        <v>32</v>
      </c>
      <c r="B20" s="1" t="s">
        <v>49</v>
      </c>
      <c r="C20" s="3" t="s">
        <v>51</v>
      </c>
      <c r="D20" s="23">
        <v>4.3163265306122245</v>
      </c>
      <c r="E20" s="18">
        <v>251.94</v>
      </c>
      <c r="F20" s="18">
        <v>5.01</v>
      </c>
    </row>
    <row r="21" spans="1:6" x14ac:dyDescent="0.3">
      <c r="A21" s="3" t="s">
        <v>33</v>
      </c>
      <c r="B21" s="1" t="s">
        <v>49</v>
      </c>
      <c r="C21" s="3" t="s">
        <v>51</v>
      </c>
      <c r="D21" s="23">
        <v>4.3109762477764875</v>
      </c>
      <c r="E21" s="18">
        <v>245.23</v>
      </c>
      <c r="F21" s="18">
        <v>9.42</v>
      </c>
    </row>
    <row r="22" spans="1:6" x14ac:dyDescent="0.3">
      <c r="A22" s="3" t="s">
        <v>31</v>
      </c>
      <c r="B22" s="1" t="s">
        <v>49</v>
      </c>
      <c r="C22" s="3" t="s">
        <v>52</v>
      </c>
      <c r="D22" s="23">
        <v>5.3557939265750143</v>
      </c>
      <c r="E22" s="18">
        <v>161.63999999999999</v>
      </c>
      <c r="F22" s="18">
        <v>21.53</v>
      </c>
    </row>
    <row r="23" spans="1:6" x14ac:dyDescent="0.3">
      <c r="A23" s="10" t="s">
        <v>16</v>
      </c>
      <c r="B23" s="11" t="s">
        <v>46</v>
      </c>
      <c r="C23" s="10" t="s">
        <v>53</v>
      </c>
      <c r="D23" s="23">
        <v>8.7907918036934092</v>
      </c>
      <c r="E23" s="18">
        <v>239.54</v>
      </c>
      <c r="F23" s="18">
        <v>3.31</v>
      </c>
    </row>
    <row r="24" spans="1:6" x14ac:dyDescent="0.3">
      <c r="A24" s="11" t="s">
        <v>14</v>
      </c>
      <c r="B24" s="11" t="s">
        <v>46</v>
      </c>
      <c r="C24" s="11" t="s">
        <v>56</v>
      </c>
      <c r="D24" s="23">
        <v>6.7518905293482367</v>
      </c>
      <c r="E24" s="20">
        <v>288.87</v>
      </c>
      <c r="F24" s="20">
        <v>6.25</v>
      </c>
    </row>
    <row r="25" spans="1:6" x14ac:dyDescent="0.3">
      <c r="A25" s="11" t="s">
        <v>35</v>
      </c>
      <c r="B25" s="11" t="s">
        <v>46</v>
      </c>
      <c r="C25" s="11" t="s">
        <v>56</v>
      </c>
      <c r="D25" s="23">
        <v>7.9100017577781623</v>
      </c>
      <c r="E25" s="18">
        <v>372.64</v>
      </c>
      <c r="F25" s="18">
        <v>13.6</v>
      </c>
    </row>
    <row r="26" spans="1:6" x14ac:dyDescent="0.3">
      <c r="A26" s="11" t="s">
        <v>36</v>
      </c>
      <c r="B26" s="11" t="s">
        <v>46</v>
      </c>
      <c r="C26" s="11" t="s">
        <v>57</v>
      </c>
      <c r="D26" s="23">
        <v>8.0613626109189536</v>
      </c>
      <c r="E26" s="20">
        <v>304.13</v>
      </c>
      <c r="F26" s="20">
        <v>13.41</v>
      </c>
    </row>
    <row r="27" spans="1:6" x14ac:dyDescent="0.3">
      <c r="A27" s="2" t="s">
        <v>4</v>
      </c>
      <c r="B27" s="2" t="s">
        <v>68</v>
      </c>
      <c r="C27" s="2" t="s">
        <v>69</v>
      </c>
      <c r="D27" s="23">
        <v>5.9250387487670864</v>
      </c>
      <c r="E27" s="18">
        <v>327.76</v>
      </c>
      <c r="F27" s="18">
        <v>5.56</v>
      </c>
    </row>
    <row r="28" spans="1:6" x14ac:dyDescent="0.3">
      <c r="A28" s="2" t="s">
        <v>1</v>
      </c>
      <c r="B28" s="2" t="s">
        <v>68</v>
      </c>
      <c r="C28" s="2" t="s">
        <v>70</v>
      </c>
      <c r="D28" s="23">
        <v>4.6602084250697011</v>
      </c>
      <c r="E28" s="20">
        <v>324.2</v>
      </c>
      <c r="F28" s="20">
        <v>6.38</v>
      </c>
    </row>
    <row r="29" spans="1:6" x14ac:dyDescent="0.3">
      <c r="A29" s="1" t="s">
        <v>12</v>
      </c>
      <c r="B29" s="1" t="s">
        <v>39</v>
      </c>
      <c r="C29" s="1" t="s">
        <v>67</v>
      </c>
      <c r="D29" s="23">
        <v>7.8979989374889374</v>
      </c>
      <c r="E29" s="18">
        <v>360.55</v>
      </c>
      <c r="F29" s="18">
        <v>11.65</v>
      </c>
    </row>
    <row r="30" spans="1:6" x14ac:dyDescent="0.3">
      <c r="A30" s="1" t="s">
        <v>20</v>
      </c>
      <c r="B30" s="1" t="s">
        <v>39</v>
      </c>
      <c r="C30" s="1" t="s">
        <v>40</v>
      </c>
      <c r="D30" s="23">
        <v>5.7422700211254067</v>
      </c>
      <c r="E30" s="20">
        <v>362.61</v>
      </c>
      <c r="F30" s="20">
        <v>35.119999999999997</v>
      </c>
    </row>
    <row r="31" spans="1:6" x14ac:dyDescent="0.3">
      <c r="A31" s="4" t="s">
        <v>19</v>
      </c>
      <c r="B31" s="4" t="s">
        <v>42</v>
      </c>
      <c r="C31" s="4" t="s">
        <v>43</v>
      </c>
      <c r="D31" s="23">
        <v>6.577998557807863</v>
      </c>
      <c r="E31" s="18">
        <v>82.93</v>
      </c>
      <c r="F31" s="18">
        <v>13.89</v>
      </c>
    </row>
    <row r="32" spans="1:6" x14ac:dyDescent="0.3">
      <c r="A32" s="13" t="s">
        <v>7</v>
      </c>
      <c r="B32" s="4" t="s">
        <v>42</v>
      </c>
      <c r="C32" s="13" t="s">
        <v>54</v>
      </c>
      <c r="D32" s="23">
        <v>7.0617459190915444</v>
      </c>
      <c r="E32" s="19">
        <v>332.94</v>
      </c>
      <c r="F32" s="19">
        <v>9.41</v>
      </c>
    </row>
    <row r="33" spans="1:6" x14ac:dyDescent="0.3">
      <c r="A33" s="4" t="s">
        <v>8</v>
      </c>
      <c r="B33" s="4" t="s">
        <v>42</v>
      </c>
      <c r="C33" s="4" t="s">
        <v>55</v>
      </c>
      <c r="D33" s="23">
        <v>7.1023934286928103</v>
      </c>
      <c r="E33" s="18">
        <v>320.74</v>
      </c>
      <c r="F33" s="18">
        <v>9.98</v>
      </c>
    </row>
    <row r="34" spans="1:6" x14ac:dyDescent="0.3">
      <c r="A34" s="13" t="s">
        <v>18</v>
      </c>
      <c r="B34" s="4" t="s">
        <v>42</v>
      </c>
      <c r="C34" s="13" t="s">
        <v>65</v>
      </c>
      <c r="D34" s="23">
        <v>3.5190954194069479</v>
      </c>
      <c r="E34" s="18">
        <v>48.16</v>
      </c>
      <c r="F34" s="18">
        <v>8.6300000000000008</v>
      </c>
    </row>
    <row r="35" spans="1:6" x14ac:dyDescent="0.3">
      <c r="A35" s="12" t="s">
        <v>13</v>
      </c>
      <c r="B35" s="12" t="s">
        <v>46</v>
      </c>
      <c r="C35" s="12" t="s">
        <v>47</v>
      </c>
      <c r="D35" s="23">
        <v>3.5716691850896432</v>
      </c>
      <c r="E35" s="18">
        <v>194.91</v>
      </c>
      <c r="F35" s="18">
        <v>2.63</v>
      </c>
    </row>
    <row r="36" spans="1:6" x14ac:dyDescent="0.3">
      <c r="A36" s="14" t="s">
        <v>17</v>
      </c>
      <c r="B36" s="12" t="s">
        <v>62</v>
      </c>
      <c r="C36" s="14" t="s">
        <v>63</v>
      </c>
      <c r="D36" s="23">
        <v>1.2724014336917833</v>
      </c>
      <c r="E36" s="20">
        <v>75.72</v>
      </c>
      <c r="F36" s="20">
        <v>4.79</v>
      </c>
    </row>
    <row r="37" spans="1:6" x14ac:dyDescent="0.3">
      <c r="A37" s="12" t="s">
        <v>11</v>
      </c>
      <c r="B37" s="12" t="s">
        <v>62</v>
      </c>
      <c r="C37" s="12" t="s">
        <v>64</v>
      </c>
      <c r="D37" s="23">
        <v>0.61652281134403353</v>
      </c>
      <c r="E37" s="22">
        <v>164.69</v>
      </c>
      <c r="F37" s="22">
        <v>2.4300000000000002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41"/>
  <sheetViews>
    <sheetView topLeftCell="A4" workbookViewId="0">
      <selection activeCell="K41" sqref="K41"/>
    </sheetView>
  </sheetViews>
  <sheetFormatPr baseColWidth="10" defaultColWidth="9.109375" defaultRowHeight="14.4" x14ac:dyDescent="0.3"/>
  <cols>
    <col min="1" max="1" width="17.33203125" bestFit="1" customWidth="1"/>
    <col min="2" max="2" width="17.33203125" customWidth="1"/>
    <col min="3" max="3" width="38.33203125" bestFit="1" customWidth="1"/>
    <col min="4" max="4" width="11.5546875" bestFit="1" customWidth="1"/>
    <col min="5" max="5" width="11.5546875" customWidth="1"/>
    <col min="8" max="8" width="16.5546875" customWidth="1"/>
    <col min="9" max="9" width="10.109375" bestFit="1" customWidth="1"/>
    <col min="10" max="10" width="14.88671875" bestFit="1" customWidth="1"/>
    <col min="11" max="11" width="20.33203125" bestFit="1" customWidth="1"/>
    <col min="12" max="12" width="10.109375" customWidth="1"/>
    <col min="13" max="13" width="19.109375" bestFit="1" customWidth="1"/>
    <col min="14" max="14" width="25" bestFit="1" customWidth="1"/>
  </cols>
  <sheetData>
    <row r="1" spans="1:18" x14ac:dyDescent="0.3">
      <c r="A1" s="5" t="s">
        <v>0</v>
      </c>
      <c r="B1" s="5" t="s">
        <v>39</v>
      </c>
      <c r="C1" s="5" t="s">
        <v>45</v>
      </c>
      <c r="D1" s="23">
        <v>14.551443518697926</v>
      </c>
      <c r="E1" s="24"/>
      <c r="F1" s="15">
        <v>294.27</v>
      </c>
      <c r="G1" s="15">
        <v>2.8</v>
      </c>
    </row>
    <row r="2" spans="1:18" x14ac:dyDescent="0.3">
      <c r="A2" s="5" t="s">
        <v>15</v>
      </c>
      <c r="B2" s="5" t="s">
        <v>39</v>
      </c>
      <c r="C2" s="5" t="s">
        <v>45</v>
      </c>
      <c r="D2" s="23">
        <v>13.57915263251196</v>
      </c>
      <c r="E2" s="24"/>
      <c r="F2" s="15">
        <v>353.34</v>
      </c>
      <c r="G2" s="15">
        <v>15.41</v>
      </c>
    </row>
    <row r="3" spans="1:18" x14ac:dyDescent="0.3">
      <c r="A3" s="5" t="s">
        <v>25</v>
      </c>
      <c r="B3" s="5" t="s">
        <v>39</v>
      </c>
      <c r="C3" s="5" t="s">
        <v>45</v>
      </c>
      <c r="D3" s="23">
        <v>10.299488677867053</v>
      </c>
      <c r="E3" s="24"/>
      <c r="F3" s="16">
        <v>354.35</v>
      </c>
      <c r="G3" s="16">
        <v>6.56</v>
      </c>
    </row>
    <row r="4" spans="1:18" x14ac:dyDescent="0.3">
      <c r="A4" s="5" t="s">
        <v>26</v>
      </c>
      <c r="B4" s="5" t="s">
        <v>39</v>
      </c>
      <c r="C4" s="5" t="s">
        <v>45</v>
      </c>
      <c r="D4" s="23">
        <v>10.871143375680592</v>
      </c>
      <c r="E4" s="24"/>
      <c r="F4" s="16">
        <v>397.4</v>
      </c>
      <c r="G4" s="16">
        <v>11.49</v>
      </c>
    </row>
    <row r="5" spans="1:18" x14ac:dyDescent="0.3">
      <c r="A5" s="6" t="s">
        <v>9</v>
      </c>
      <c r="B5" s="6" t="s">
        <v>39</v>
      </c>
      <c r="C5" s="6" t="s">
        <v>44</v>
      </c>
      <c r="D5" s="23">
        <v>8.3228005668543261</v>
      </c>
      <c r="E5" s="24"/>
      <c r="F5" s="15">
        <v>346.88</v>
      </c>
      <c r="G5" s="15">
        <v>5.95</v>
      </c>
    </row>
    <row r="6" spans="1:18" x14ac:dyDescent="0.3">
      <c r="A6" s="6" t="s">
        <v>21</v>
      </c>
      <c r="B6" s="6" t="s">
        <v>39</v>
      </c>
      <c r="C6" s="6" t="s">
        <v>44</v>
      </c>
      <c r="D6" s="23">
        <v>8.7515489467162251</v>
      </c>
      <c r="E6" s="24"/>
      <c r="F6" s="15">
        <v>355.55</v>
      </c>
      <c r="G6" s="15">
        <v>8.7899999999999991</v>
      </c>
    </row>
    <row r="7" spans="1:18" x14ac:dyDescent="0.3">
      <c r="A7" s="6" t="s">
        <v>22</v>
      </c>
      <c r="B7" s="6" t="s">
        <v>39</v>
      </c>
      <c r="C7" s="6" t="s">
        <v>44</v>
      </c>
      <c r="D7" s="23">
        <v>9.5543345543345541</v>
      </c>
      <c r="E7" s="24"/>
      <c r="F7" s="17">
        <v>428.78</v>
      </c>
      <c r="G7" s="17">
        <v>9.94</v>
      </c>
    </row>
    <row r="8" spans="1:18" x14ac:dyDescent="0.3">
      <c r="A8" s="5" t="s">
        <v>10</v>
      </c>
      <c r="B8" s="5" t="s">
        <v>39</v>
      </c>
      <c r="C8" s="5" t="s">
        <v>41</v>
      </c>
      <c r="D8" s="23">
        <v>9.5246701608530557</v>
      </c>
      <c r="E8" s="24"/>
      <c r="F8" s="18">
        <v>320.95</v>
      </c>
      <c r="G8" s="18">
        <v>5.2</v>
      </c>
    </row>
    <row r="9" spans="1:18" x14ac:dyDescent="0.3">
      <c r="A9" s="5" t="s">
        <v>23</v>
      </c>
      <c r="B9" s="5" t="s">
        <v>39</v>
      </c>
      <c r="C9" s="5" t="s">
        <v>41</v>
      </c>
      <c r="D9" s="23">
        <v>10.746483952398112</v>
      </c>
      <c r="E9" s="24"/>
      <c r="F9" s="18">
        <v>294.29000000000002</v>
      </c>
      <c r="G9" s="18">
        <v>3.07</v>
      </c>
    </row>
    <row r="10" spans="1:18" x14ac:dyDescent="0.3">
      <c r="A10" s="5" t="s">
        <v>24</v>
      </c>
      <c r="B10" s="5" t="s">
        <v>39</v>
      </c>
      <c r="C10" s="5" t="s">
        <v>41</v>
      </c>
      <c r="D10" s="23">
        <v>10.748422001803437</v>
      </c>
      <c r="E10" s="24"/>
      <c r="F10" s="19">
        <v>354.99</v>
      </c>
      <c r="G10" s="19">
        <v>3.65</v>
      </c>
    </row>
    <row r="11" spans="1:18" x14ac:dyDescent="0.3">
      <c r="A11" s="7" t="s">
        <v>3</v>
      </c>
      <c r="B11" s="5" t="s">
        <v>39</v>
      </c>
      <c r="C11" s="7" t="s">
        <v>66</v>
      </c>
      <c r="D11" s="23">
        <v>14.274471224790963</v>
      </c>
      <c r="E11" s="24"/>
      <c r="F11" s="20">
        <v>134.19999999999999</v>
      </c>
      <c r="G11" s="20">
        <v>16.579999999999998</v>
      </c>
    </row>
    <row r="12" spans="1:18" x14ac:dyDescent="0.3">
      <c r="A12" s="8" t="s">
        <v>6</v>
      </c>
      <c r="B12" s="8" t="s">
        <v>48</v>
      </c>
      <c r="C12" s="9" t="s">
        <v>58</v>
      </c>
      <c r="D12" s="23">
        <v>6.889887170915177</v>
      </c>
      <c r="E12" s="24"/>
      <c r="F12" s="21">
        <v>276.02</v>
      </c>
      <c r="G12" s="21">
        <v>5.57</v>
      </c>
      <c r="H12">
        <v>0.53578272782776992</v>
      </c>
      <c r="I12">
        <v>0.69277309902404915</v>
      </c>
      <c r="J12">
        <f t="shared" ref="J12:J40" si="0">(D12-MIN($D$12:$D$40))/(MAX($D$12:$D$40)-MIN($D$12:$D$40))</f>
        <v>0.53578272782776992</v>
      </c>
      <c r="K12">
        <f t="shared" ref="K12:K18" si="1">(F12-MIN($F$12:$F$18,$F$20:$F$40))/(MAX($F$12:$F$18,$F$20:$F$40)-MIN($F$12:$F$18,$F$20:$F$40))</f>
        <v>0.69277309902404915</v>
      </c>
      <c r="M12" t="s">
        <v>37</v>
      </c>
      <c r="N12" t="s">
        <v>71</v>
      </c>
      <c r="O12" t="s">
        <v>72</v>
      </c>
      <c r="P12" t="s">
        <v>74</v>
      </c>
      <c r="Q12" t="s">
        <v>38</v>
      </c>
      <c r="R12" t="s">
        <v>73</v>
      </c>
    </row>
    <row r="13" spans="1:18" x14ac:dyDescent="0.3">
      <c r="A13" s="8" t="s">
        <v>28</v>
      </c>
      <c r="B13" s="8" t="s">
        <v>48</v>
      </c>
      <c r="C13" s="9" t="s">
        <v>58</v>
      </c>
      <c r="D13" s="23">
        <v>5.1632572777340684</v>
      </c>
      <c r="E13" s="24"/>
      <c r="F13" s="21">
        <v>238.7</v>
      </c>
      <c r="G13" s="21">
        <v>2.84</v>
      </c>
      <c r="H13">
        <v>0.38831823810685301</v>
      </c>
      <c r="I13">
        <v>0.579307409321699</v>
      </c>
      <c r="J13">
        <f t="shared" si="0"/>
        <v>0.38831823810685301</v>
      </c>
      <c r="K13">
        <f t="shared" si="1"/>
        <v>0.579307409321699</v>
      </c>
    </row>
    <row r="14" spans="1:18" x14ac:dyDescent="0.3">
      <c r="A14" s="8" t="s">
        <v>30</v>
      </c>
      <c r="B14" s="8" t="s">
        <v>48</v>
      </c>
      <c r="C14" s="9" t="s">
        <v>59</v>
      </c>
      <c r="D14" s="23">
        <v>5.5126791620727644</v>
      </c>
      <c r="E14" s="24"/>
      <c r="F14" s="20">
        <v>199.05</v>
      </c>
      <c r="G14" s="20">
        <v>14.51</v>
      </c>
      <c r="H14">
        <v>0.4181609508241651</v>
      </c>
      <c r="I14">
        <v>0.45875771487641004</v>
      </c>
      <c r="J14">
        <f t="shared" si="0"/>
        <v>0.4181609508241651</v>
      </c>
      <c r="K14">
        <f t="shared" si="1"/>
        <v>0.45875771487641004</v>
      </c>
    </row>
    <row r="15" spans="1:18" x14ac:dyDescent="0.3">
      <c r="A15" s="8" t="s">
        <v>5</v>
      </c>
      <c r="B15" s="8" t="s">
        <v>48</v>
      </c>
      <c r="C15" s="9" t="s">
        <v>60</v>
      </c>
      <c r="D15" s="23">
        <v>5.92517508293402</v>
      </c>
      <c r="E15" s="24"/>
      <c r="F15" s="18">
        <v>262.52999999999997</v>
      </c>
      <c r="G15" s="18">
        <v>3.54</v>
      </c>
      <c r="H15">
        <v>0.45339056240565784</v>
      </c>
      <c r="I15">
        <v>0.65175883980420179</v>
      </c>
      <c r="J15">
        <f t="shared" si="0"/>
        <v>0.45339056240565784</v>
      </c>
      <c r="K15">
        <f t="shared" si="1"/>
        <v>0.65175883980420179</v>
      </c>
    </row>
    <row r="16" spans="1:18" x14ac:dyDescent="0.3">
      <c r="A16" s="8" t="s">
        <v>27</v>
      </c>
      <c r="B16" s="8" t="s">
        <v>48</v>
      </c>
      <c r="C16" s="9" t="s">
        <v>60</v>
      </c>
      <c r="D16" s="23">
        <v>5.4466993235362748</v>
      </c>
      <c r="E16" s="24"/>
      <c r="F16" s="20">
        <v>232.01</v>
      </c>
      <c r="G16" s="20">
        <v>4.34</v>
      </c>
      <c r="H16">
        <v>0.41252587913909994</v>
      </c>
      <c r="I16">
        <v>0.55896749870785323</v>
      </c>
      <c r="J16">
        <f t="shared" si="0"/>
        <v>0.41252587913909994</v>
      </c>
      <c r="K16">
        <f t="shared" si="1"/>
        <v>0.55896749870785323</v>
      </c>
    </row>
    <row r="17" spans="1:11" x14ac:dyDescent="0.3">
      <c r="A17" s="8" t="s">
        <v>29</v>
      </c>
      <c r="B17" s="8" t="s">
        <v>48</v>
      </c>
      <c r="C17" s="9" t="s">
        <v>61</v>
      </c>
      <c r="D17" s="23">
        <v>5.331104300176448</v>
      </c>
      <c r="E17" s="24"/>
      <c r="F17" s="20">
        <v>212.75</v>
      </c>
      <c r="G17" s="20">
        <v>7.64</v>
      </c>
      <c r="H17">
        <v>0.40265337478749924</v>
      </c>
      <c r="I17">
        <v>0.50041044662673684</v>
      </c>
      <c r="J17">
        <f t="shared" si="0"/>
        <v>0.40265337478749924</v>
      </c>
      <c r="K17">
        <f t="shared" si="1"/>
        <v>0.50041044662673684</v>
      </c>
    </row>
    <row r="18" spans="1:11" x14ac:dyDescent="0.3">
      <c r="A18" s="1" t="s">
        <v>34</v>
      </c>
      <c r="B18" s="1" t="s">
        <v>49</v>
      </c>
      <c r="C18" s="1" t="s">
        <v>50</v>
      </c>
      <c r="D18" s="23">
        <v>5.6902002107481753</v>
      </c>
      <c r="E18" s="24"/>
      <c r="F18" s="18">
        <v>316.86</v>
      </c>
      <c r="G18" s="18">
        <v>6.97</v>
      </c>
      <c r="H18">
        <v>0.43332230703664881</v>
      </c>
      <c r="I18">
        <v>0.81694080447538864</v>
      </c>
      <c r="J18">
        <f t="shared" si="0"/>
        <v>0.43332230703664881</v>
      </c>
      <c r="K18">
        <f t="shared" si="1"/>
        <v>0.81694080447538864</v>
      </c>
    </row>
    <row r="19" spans="1:11" x14ac:dyDescent="0.3">
      <c r="A19" s="1" t="s">
        <v>2</v>
      </c>
      <c r="B19" s="1" t="s">
        <v>49</v>
      </c>
      <c r="C19" s="1" t="s">
        <v>51</v>
      </c>
      <c r="D19" s="23">
        <v>5.6290110569860108</v>
      </c>
      <c r="E19" s="24"/>
      <c r="F19" s="18">
        <v>428.56</v>
      </c>
      <c r="G19" s="18">
        <v>9.67</v>
      </c>
      <c r="H19">
        <v>0.428096388400798</v>
      </c>
      <c r="I19" s="26">
        <v>1</v>
      </c>
      <c r="J19">
        <f t="shared" si="0"/>
        <v>0.428096388400798</v>
      </c>
      <c r="K19" s="26">
        <v>1</v>
      </c>
    </row>
    <row r="20" spans="1:11" x14ac:dyDescent="0.3">
      <c r="A20" s="3" t="s">
        <v>32</v>
      </c>
      <c r="B20" s="1" t="s">
        <v>49</v>
      </c>
      <c r="C20" s="3" t="s">
        <v>51</v>
      </c>
      <c r="D20" s="23">
        <v>4.3163265306122245</v>
      </c>
      <c r="E20" s="24"/>
      <c r="F20" s="18">
        <v>251.94</v>
      </c>
      <c r="G20" s="18">
        <v>5.01</v>
      </c>
      <c r="H20">
        <v>0.31598530158901089</v>
      </c>
      <c r="I20">
        <v>0.61956158219573754</v>
      </c>
      <c r="J20">
        <f t="shared" si="0"/>
        <v>0.31598530158901089</v>
      </c>
      <c r="K20">
        <f t="shared" ref="K20:K40" si="2">(F20-MIN($F$12:$F$18,$F$20:$F$40))/(MAX($F$12:$F$18,$F$20:$F$40)-MIN($F$12:$F$18,$F$20:$F$40))</f>
        <v>0.61956158219573754</v>
      </c>
    </row>
    <row r="21" spans="1:11" x14ac:dyDescent="0.3">
      <c r="A21" s="3" t="s">
        <v>33</v>
      </c>
      <c r="B21" s="1" t="s">
        <v>49</v>
      </c>
      <c r="C21" s="3" t="s">
        <v>51</v>
      </c>
      <c r="D21" s="23">
        <v>4.3109762477764875</v>
      </c>
      <c r="E21" s="24"/>
      <c r="F21" s="18">
        <v>245.23</v>
      </c>
      <c r="G21" s="18">
        <v>9.42</v>
      </c>
      <c r="H21">
        <v>0.31552835552816116</v>
      </c>
      <c r="I21">
        <v>0.59916086467422702</v>
      </c>
      <c r="J21">
        <f t="shared" si="0"/>
        <v>0.31552835552816116</v>
      </c>
      <c r="K21">
        <f t="shared" si="2"/>
        <v>0.59916086467422702</v>
      </c>
    </row>
    <row r="22" spans="1:11" x14ac:dyDescent="0.3">
      <c r="A22" s="3" t="s">
        <v>31</v>
      </c>
      <c r="B22" s="1" t="s">
        <v>49</v>
      </c>
      <c r="C22" s="3" t="s">
        <v>52</v>
      </c>
      <c r="D22" s="23">
        <v>5.3557939265750143</v>
      </c>
      <c r="E22" s="24"/>
      <c r="F22" s="18">
        <v>161.63999999999999</v>
      </c>
      <c r="G22" s="18">
        <v>21.53</v>
      </c>
      <c r="H22">
        <v>0.40476201611975193</v>
      </c>
      <c r="I22">
        <v>0.34501839408956858</v>
      </c>
      <c r="J22">
        <f t="shared" si="0"/>
        <v>0.40476201611975193</v>
      </c>
      <c r="K22">
        <f t="shared" si="2"/>
        <v>0.34501839408956858</v>
      </c>
    </row>
    <row r="23" spans="1:11" x14ac:dyDescent="0.3">
      <c r="A23" s="10" t="s">
        <v>16</v>
      </c>
      <c r="B23" s="11" t="s">
        <v>46</v>
      </c>
      <c r="C23" s="10" t="s">
        <v>53</v>
      </c>
      <c r="D23" s="23">
        <v>8.7907918036934092</v>
      </c>
      <c r="E23" s="24"/>
      <c r="F23" s="18">
        <v>239.54</v>
      </c>
      <c r="G23" s="18">
        <v>3.31</v>
      </c>
      <c r="H23">
        <v>0.69813131960635921</v>
      </c>
      <c r="I23">
        <v>0.58186129944361686</v>
      </c>
      <c r="J23">
        <f t="shared" si="0"/>
        <v>0.69813131960635921</v>
      </c>
      <c r="K23">
        <f t="shared" si="2"/>
        <v>0.58186129944361686</v>
      </c>
    </row>
    <row r="24" spans="1:11" x14ac:dyDescent="0.3">
      <c r="A24" s="11" t="s">
        <v>14</v>
      </c>
      <c r="B24" s="11" t="s">
        <v>46</v>
      </c>
      <c r="C24" s="11" t="s">
        <v>56</v>
      </c>
      <c r="D24" s="23">
        <v>6.7518905293482367</v>
      </c>
      <c r="E24" s="24"/>
      <c r="F24" s="20">
        <v>288.87</v>
      </c>
      <c r="G24" s="20">
        <v>6.25</v>
      </c>
      <c r="H24">
        <v>0.52399699168811731</v>
      </c>
      <c r="I24">
        <v>0.73184153719862588</v>
      </c>
      <c r="J24">
        <f t="shared" si="0"/>
        <v>0.52399699168811731</v>
      </c>
      <c r="K24">
        <f t="shared" si="2"/>
        <v>0.73184153719862588</v>
      </c>
    </row>
    <row r="25" spans="1:11" x14ac:dyDescent="0.3">
      <c r="A25" s="11" t="s">
        <v>35</v>
      </c>
      <c r="B25" s="11" t="s">
        <v>46</v>
      </c>
      <c r="C25" s="11" t="s">
        <v>56</v>
      </c>
      <c r="D25" s="23">
        <v>7.9100017577781623</v>
      </c>
      <c r="E25" s="24"/>
      <c r="F25" s="18">
        <v>372.64</v>
      </c>
      <c r="G25" s="18">
        <v>13.6</v>
      </c>
      <c r="H25">
        <v>0.622906597049948</v>
      </c>
      <c r="I25">
        <v>0.9865312699522667</v>
      </c>
      <c r="J25">
        <f t="shared" si="0"/>
        <v>0.622906597049948</v>
      </c>
      <c r="K25">
        <f t="shared" si="2"/>
        <v>0.9865312699522667</v>
      </c>
    </row>
    <row r="26" spans="1:11" x14ac:dyDescent="0.3">
      <c r="A26" s="11" t="s">
        <v>36</v>
      </c>
      <c r="B26" s="11" t="s">
        <v>46</v>
      </c>
      <c r="C26" s="11" t="s">
        <v>57</v>
      </c>
      <c r="D26" s="23">
        <v>8.0613626109189536</v>
      </c>
      <c r="E26" s="24"/>
      <c r="F26" s="20">
        <v>304.13</v>
      </c>
      <c r="G26" s="20">
        <v>13.41</v>
      </c>
      <c r="H26">
        <v>0.63583371655614784</v>
      </c>
      <c r="I26">
        <v>0.77823720774680016</v>
      </c>
      <c r="J26">
        <f t="shared" si="0"/>
        <v>0.63583371655614784</v>
      </c>
      <c r="K26">
        <f t="shared" si="2"/>
        <v>0.77823720774680016</v>
      </c>
    </row>
    <row r="27" spans="1:11" x14ac:dyDescent="0.3">
      <c r="A27" s="2" t="s">
        <v>4</v>
      </c>
      <c r="B27" s="2" t="s">
        <v>68</v>
      </c>
      <c r="C27" s="2" t="s">
        <v>69</v>
      </c>
      <c r="D27" s="23">
        <v>5.9250387487670864</v>
      </c>
      <c r="E27" s="24"/>
      <c r="F27" s="18">
        <v>327.76</v>
      </c>
      <c r="G27" s="18">
        <v>5.56</v>
      </c>
      <c r="H27">
        <v>0.45337891865476615</v>
      </c>
      <c r="I27">
        <v>0.85008056915265584</v>
      </c>
      <c r="J27">
        <f t="shared" si="0"/>
        <v>0.45337891865476615</v>
      </c>
      <c r="K27">
        <f t="shared" si="2"/>
        <v>0.85008056915265584</v>
      </c>
    </row>
    <row r="28" spans="1:11" x14ac:dyDescent="0.3">
      <c r="A28" s="2" t="s">
        <v>1</v>
      </c>
      <c r="B28" s="2" t="s">
        <v>68</v>
      </c>
      <c r="C28" s="2" t="s">
        <v>70</v>
      </c>
      <c r="D28" s="23">
        <v>4.6602084250697011</v>
      </c>
      <c r="E28" s="24"/>
      <c r="F28" s="20">
        <v>324.2</v>
      </c>
      <c r="G28" s="20">
        <v>6.38</v>
      </c>
      <c r="H28">
        <v>0.34535486613246164</v>
      </c>
      <c r="I28">
        <v>0.83925693958833725</v>
      </c>
      <c r="J28">
        <f t="shared" si="0"/>
        <v>0.34535486613246164</v>
      </c>
      <c r="K28">
        <f t="shared" si="2"/>
        <v>0.83925693958833725</v>
      </c>
    </row>
    <row r="29" spans="1:11" x14ac:dyDescent="0.3">
      <c r="A29" s="1" t="s">
        <v>12</v>
      </c>
      <c r="B29" s="1" t="s">
        <v>39</v>
      </c>
      <c r="C29" s="1" t="s">
        <v>67</v>
      </c>
      <c r="D29" s="23">
        <v>7.8979989374889374</v>
      </c>
      <c r="E29" s="24"/>
      <c r="F29" s="18">
        <v>360.55</v>
      </c>
      <c r="G29" s="18">
        <v>11.65</v>
      </c>
      <c r="H29">
        <v>0.62188148461783233</v>
      </c>
      <c r="I29">
        <v>0.94977349426894897</v>
      </c>
      <c r="J29">
        <f t="shared" si="0"/>
        <v>0.62188148461783233</v>
      </c>
      <c r="K29">
        <f t="shared" si="2"/>
        <v>0.94977349426894897</v>
      </c>
    </row>
    <row r="30" spans="1:11" x14ac:dyDescent="0.3">
      <c r="A30" s="1" t="s">
        <v>20</v>
      </c>
      <c r="B30" s="1" t="s">
        <v>39</v>
      </c>
      <c r="C30" s="1" t="s">
        <v>40</v>
      </c>
      <c r="D30" s="23">
        <v>5.7422700211254067</v>
      </c>
      <c r="E30" s="24"/>
      <c r="F30" s="20">
        <v>362.61</v>
      </c>
      <c r="G30" s="20">
        <v>35.119999999999997</v>
      </c>
      <c r="H30">
        <v>0.43776937936376853</v>
      </c>
      <c r="I30">
        <v>0.95603660575841443</v>
      </c>
      <c r="J30">
        <f t="shared" si="0"/>
        <v>0.43776937936376853</v>
      </c>
      <c r="K30">
        <f t="shared" si="2"/>
        <v>0.95603660575841443</v>
      </c>
    </row>
    <row r="31" spans="1:11" x14ac:dyDescent="0.3">
      <c r="A31" s="4" t="s">
        <v>19</v>
      </c>
      <c r="B31" s="4" t="s">
        <v>42</v>
      </c>
      <c r="C31" s="4" t="s">
        <v>43</v>
      </c>
      <c r="D31" s="23">
        <v>6.577998557807863</v>
      </c>
      <c r="E31" s="24"/>
      <c r="F31" s="18">
        <v>82.93</v>
      </c>
      <c r="G31" s="18">
        <v>13.89</v>
      </c>
      <c r="H31">
        <v>0.50914558030514778</v>
      </c>
      <c r="I31">
        <v>0.10571280897509962</v>
      </c>
      <c r="J31">
        <f t="shared" si="0"/>
        <v>0.50914558030514778</v>
      </c>
      <c r="K31">
        <f t="shared" si="2"/>
        <v>0.10571280897509962</v>
      </c>
    </row>
    <row r="32" spans="1:11" x14ac:dyDescent="0.3">
      <c r="A32" s="13" t="s">
        <v>7</v>
      </c>
      <c r="B32" s="4" t="s">
        <v>42</v>
      </c>
      <c r="C32" s="13" t="s">
        <v>54</v>
      </c>
      <c r="D32" s="23">
        <v>7.0617459190915444</v>
      </c>
      <c r="E32" s="24"/>
      <c r="F32" s="19">
        <v>332.94</v>
      </c>
      <c r="G32" s="19">
        <v>9.41</v>
      </c>
      <c r="H32">
        <v>0.55046048981022466</v>
      </c>
      <c r="I32">
        <v>0.86582955823781582</v>
      </c>
      <c r="J32">
        <f t="shared" si="0"/>
        <v>0.55046048981022466</v>
      </c>
      <c r="K32">
        <f t="shared" si="2"/>
        <v>0.86582955823781582</v>
      </c>
    </row>
    <row r="33" spans="1:11" x14ac:dyDescent="0.3">
      <c r="A33" s="4" t="s">
        <v>8</v>
      </c>
      <c r="B33" s="4" t="s">
        <v>42</v>
      </c>
      <c r="C33" s="4" t="s">
        <v>55</v>
      </c>
      <c r="D33" s="23">
        <v>7.1023934286928103</v>
      </c>
      <c r="E33" s="24"/>
      <c r="F33" s="18">
        <v>320.74</v>
      </c>
      <c r="G33" s="18">
        <v>9.98</v>
      </c>
      <c r="H33">
        <v>0.55393202953361809</v>
      </c>
      <c r="I33">
        <v>0.82873734456234249</v>
      </c>
      <c r="J33">
        <f t="shared" si="0"/>
        <v>0.55393202953361809</v>
      </c>
      <c r="K33">
        <f t="shared" si="2"/>
        <v>0.82873734456234249</v>
      </c>
    </row>
    <row r="34" spans="1:11" x14ac:dyDescent="0.3">
      <c r="A34" s="13" t="s">
        <v>18</v>
      </c>
      <c r="B34" s="4" t="s">
        <v>42</v>
      </c>
      <c r="C34" s="13" t="s">
        <v>65</v>
      </c>
      <c r="D34" s="23">
        <v>3.5190954194069479</v>
      </c>
      <c r="E34" s="24"/>
      <c r="F34" s="18">
        <v>48.16</v>
      </c>
      <c r="G34" s="18">
        <v>8.6300000000000008</v>
      </c>
      <c r="H34">
        <v>0.2478970103646945</v>
      </c>
      <c r="I34">
        <v>0</v>
      </c>
      <c r="J34">
        <f t="shared" si="0"/>
        <v>0.2478970103646945</v>
      </c>
      <c r="K34">
        <f t="shared" si="2"/>
        <v>0</v>
      </c>
    </row>
    <row r="35" spans="1:11" x14ac:dyDescent="0.3">
      <c r="A35" s="12" t="s">
        <v>13</v>
      </c>
      <c r="B35" s="12" t="s">
        <v>46</v>
      </c>
      <c r="C35" s="12" t="s">
        <v>47</v>
      </c>
      <c r="D35" s="23">
        <v>3.5716691850896432</v>
      </c>
      <c r="E35" s="24"/>
      <c r="F35" s="18">
        <v>194.91</v>
      </c>
      <c r="G35" s="18">
        <v>2.63</v>
      </c>
      <c r="H35">
        <v>0.25238712348026332</v>
      </c>
      <c r="I35">
        <v>0.44617068498981488</v>
      </c>
      <c r="J35">
        <f t="shared" si="0"/>
        <v>0.25238712348026332</v>
      </c>
      <c r="K35">
        <f t="shared" si="2"/>
        <v>0.44617068498981488</v>
      </c>
    </row>
    <row r="36" spans="1:11" x14ac:dyDescent="0.3">
      <c r="A36" s="14" t="s">
        <v>17</v>
      </c>
      <c r="B36" s="12" t="s">
        <v>62</v>
      </c>
      <c r="C36" s="14" t="s">
        <v>63</v>
      </c>
      <c r="D36" s="23">
        <v>1.2724014336917833</v>
      </c>
      <c r="E36" s="24"/>
      <c r="F36" s="20">
        <v>75.72</v>
      </c>
      <c r="G36" s="20">
        <v>4.79</v>
      </c>
      <c r="H36">
        <v>5.6015945713285477E-2</v>
      </c>
      <c r="I36">
        <v>8.3791918761971382E-2</v>
      </c>
      <c r="J36">
        <f t="shared" si="0"/>
        <v>5.6015945713285477E-2</v>
      </c>
      <c r="K36">
        <f t="shared" si="2"/>
        <v>8.3791918761971382E-2</v>
      </c>
    </row>
    <row r="37" spans="1:11" x14ac:dyDescent="0.3">
      <c r="A37" s="12" t="s">
        <v>11</v>
      </c>
      <c r="B37" s="12" t="s">
        <v>62</v>
      </c>
      <c r="C37" s="12" t="s">
        <v>64</v>
      </c>
      <c r="D37" s="23">
        <v>0.61652281134403353</v>
      </c>
      <c r="E37" s="23"/>
      <c r="F37" s="22">
        <v>164.69</v>
      </c>
      <c r="G37" s="22">
        <v>2.4300000000000002</v>
      </c>
      <c r="H37">
        <v>0</v>
      </c>
      <c r="I37">
        <v>0.354291447508437</v>
      </c>
      <c r="J37">
        <f t="shared" si="0"/>
        <v>0</v>
      </c>
      <c r="K37">
        <f t="shared" si="2"/>
        <v>0.354291447508437</v>
      </c>
    </row>
    <row r="38" spans="1:11" x14ac:dyDescent="0.3">
      <c r="A38" s="25" t="s">
        <v>77</v>
      </c>
      <c r="B38" s="25" t="s">
        <v>39</v>
      </c>
      <c r="C38" s="25" t="s">
        <v>45</v>
      </c>
      <c r="D38" s="23">
        <v>12.325307051189384</v>
      </c>
      <c r="E38" s="24">
        <v>2.0612572531210978</v>
      </c>
      <c r="F38" s="18">
        <v>349.84</v>
      </c>
      <c r="G38" s="18">
        <v>42.357874513877022</v>
      </c>
      <c r="H38">
        <v>1</v>
      </c>
      <c r="I38">
        <v>0.91721139521449635</v>
      </c>
      <c r="J38">
        <f t="shared" si="0"/>
        <v>1</v>
      </c>
      <c r="K38">
        <f t="shared" si="2"/>
        <v>0.91721139521449635</v>
      </c>
    </row>
    <row r="39" spans="1:11" x14ac:dyDescent="0.3">
      <c r="A39" s="25" t="s">
        <v>78</v>
      </c>
      <c r="B39" s="25" t="s">
        <v>39</v>
      </c>
      <c r="C39" s="25" t="s">
        <v>44</v>
      </c>
      <c r="D39" s="23">
        <v>8.8762280226350345</v>
      </c>
      <c r="E39" s="24">
        <v>0.6251620946272366</v>
      </c>
      <c r="F39" s="18">
        <v>377.07</v>
      </c>
      <c r="G39" s="18">
        <v>44.991502531033554</v>
      </c>
      <c r="H39">
        <v>0.70542808220711528</v>
      </c>
      <c r="I39">
        <v>1</v>
      </c>
      <c r="J39">
        <f t="shared" si="0"/>
        <v>0.70542808220711528</v>
      </c>
      <c r="K39">
        <f t="shared" si="2"/>
        <v>1</v>
      </c>
    </row>
    <row r="40" spans="1:11" x14ac:dyDescent="0.3">
      <c r="A40" s="25" t="s">
        <v>79</v>
      </c>
      <c r="B40" s="25" t="s">
        <v>39</v>
      </c>
      <c r="C40" s="25" t="s">
        <v>41</v>
      </c>
      <c r="D40" s="23">
        <v>10.339858705018202</v>
      </c>
      <c r="E40" s="23">
        <v>0.70597465316570818</v>
      </c>
      <c r="F40" s="22">
        <v>323.41000000000003</v>
      </c>
      <c r="G40" s="22">
        <v>30.424680770716392</v>
      </c>
      <c r="H40">
        <v>0.83043087091701284</v>
      </c>
      <c r="I40">
        <v>0.83685506673558119</v>
      </c>
      <c r="J40">
        <f t="shared" si="0"/>
        <v>0.83043087091701284</v>
      </c>
      <c r="K40">
        <f t="shared" si="2"/>
        <v>0.83685506673558119</v>
      </c>
    </row>
    <row r="41" spans="1:11" x14ac:dyDescent="0.3">
      <c r="J41" t="s">
        <v>75</v>
      </c>
      <c r="K41" t="s">
        <v>76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1"/>
  <sheetViews>
    <sheetView zoomScaleNormal="100" workbookViewId="0">
      <selection activeCell="G11" sqref="G11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7" width="10.6640625" customWidth="1"/>
    <col min="9" max="9" width="18" bestFit="1" customWidth="1"/>
    <col min="10" max="10" width="25.6640625" customWidth="1"/>
    <col min="11" max="11" width="16.109375" bestFit="1" customWidth="1"/>
    <col min="12" max="12" width="29.6640625" bestFit="1" customWidth="1"/>
    <col min="13" max="13" width="16.109375" bestFit="1" customWidth="1"/>
    <col min="14" max="15" width="34.88671875" bestFit="1" customWidth="1"/>
  </cols>
  <sheetData>
    <row r="1" spans="1:15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41">
        <f t="shared" ref="F1:F11" si="0">(D1-MIN($D$1:$D$11))/(MAX($D$1:$D$11)-MIN($D$1:$D$11))</f>
        <v>1</v>
      </c>
      <c r="G1" s="60">
        <f>(D1)/(MAX($D$1:$D$11))</f>
        <v>1</v>
      </c>
      <c r="I1" s="43" t="s">
        <v>133</v>
      </c>
      <c r="J1" s="43" t="s">
        <v>131</v>
      </c>
      <c r="K1" s="43" t="s">
        <v>129</v>
      </c>
      <c r="L1" s="42" t="s">
        <v>130</v>
      </c>
      <c r="M1" s="43" t="s">
        <v>129</v>
      </c>
      <c r="N1" s="40" t="s">
        <v>132</v>
      </c>
      <c r="O1" s="61" t="s">
        <v>132</v>
      </c>
    </row>
    <row r="2" spans="1:15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41">
        <f t="shared" si="0"/>
        <v>0.79999352087322173</v>
      </c>
      <c r="G2" s="60">
        <f t="shared" ref="G2:G11" si="1">(D2)/(MAX($D$1:$D$11))</f>
        <v>0.81885948020322508</v>
      </c>
    </row>
    <row r="3" spans="1:15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41">
        <f t="shared" si="0"/>
        <v>0.45292540008365678</v>
      </c>
      <c r="G3" s="60">
        <f t="shared" si="1"/>
        <v>0.50452916410950799</v>
      </c>
    </row>
    <row r="4" spans="1:15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41">
        <f t="shared" si="0"/>
        <v>0.25090073367718047</v>
      </c>
      <c r="G4" s="60">
        <f t="shared" si="1"/>
        <v>0.32156082606160519</v>
      </c>
    </row>
    <row r="5" spans="1:15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41">
        <f t="shared" si="0"/>
        <v>8.9229141981246096E-2</v>
      </c>
      <c r="G5" s="60">
        <f t="shared" si="1"/>
        <v>0.17513918870249529</v>
      </c>
    </row>
    <row r="6" spans="1:15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41">
        <f t="shared" si="0"/>
        <v>8.4927773010345292E-2</v>
      </c>
      <c r="G6" s="60">
        <f t="shared" si="1"/>
        <v>0.17124355384792236</v>
      </c>
    </row>
    <row r="7" spans="1:15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41">
        <f t="shared" si="0"/>
        <v>5.0522133720726128E-2</v>
      </c>
      <c r="G7" s="60">
        <f t="shared" si="1"/>
        <v>0.14008328638022943</v>
      </c>
    </row>
    <row r="8" spans="1:15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41">
        <f t="shared" si="0"/>
        <v>1.9509195525115968E-2</v>
      </c>
      <c r="G8" s="60">
        <f t="shared" si="1"/>
        <v>0.11199569756958304</v>
      </c>
    </row>
    <row r="9" spans="1:15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41">
        <f t="shared" si="0"/>
        <v>1.6751973702272532E-2</v>
      </c>
      <c r="G9" s="60">
        <f t="shared" si="1"/>
        <v>0.10949855549515911</v>
      </c>
    </row>
    <row r="10" spans="1:15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41">
        <f t="shared" si="0"/>
        <v>2.4492108309625404E-2</v>
      </c>
      <c r="G10" s="60">
        <f t="shared" si="1"/>
        <v>0.11650858843106307</v>
      </c>
    </row>
    <row r="11" spans="1:15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41">
        <f t="shared" si="0"/>
        <v>0</v>
      </c>
      <c r="G11" s="60">
        <f t="shared" si="1"/>
        <v>9.4326740875453244E-2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11"/>
  <sheetViews>
    <sheetView zoomScaleNormal="100" workbookViewId="0">
      <selection activeCell="H2" sqref="H2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8" width="10.6640625" customWidth="1"/>
    <col min="10" max="10" width="18" bestFit="1" customWidth="1"/>
    <col min="11" max="11" width="25.6640625" customWidth="1"/>
    <col min="12" max="12" width="16.109375" bestFit="1" customWidth="1"/>
    <col min="13" max="13" width="29.6640625" bestFit="1" customWidth="1"/>
    <col min="14" max="14" width="16.109375" bestFit="1" customWidth="1"/>
    <col min="15" max="16" width="34.88671875" bestFit="1" customWidth="1"/>
  </cols>
  <sheetData>
    <row r="1" spans="1:17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64">
        <f t="shared" ref="F1:F11" si="0">(D1-MIN($D$1:$D$11))/(MAX($D$1:$D$11)-MIN($D$1:$D$11))</f>
        <v>1</v>
      </c>
      <c r="G1" s="65">
        <f>(D1)/(MAX($D$1:$D$11))</f>
        <v>1</v>
      </c>
      <c r="H1" s="63">
        <f>G1*E1/D1</f>
        <v>1.5459217254454427E-2</v>
      </c>
      <c r="J1" s="43" t="s">
        <v>133</v>
      </c>
      <c r="K1" s="43" t="s">
        <v>131</v>
      </c>
      <c r="L1" s="43" t="s">
        <v>129</v>
      </c>
      <c r="M1" s="42" t="s">
        <v>130</v>
      </c>
      <c r="N1" s="43" t="s">
        <v>129</v>
      </c>
      <c r="O1" s="40" t="s">
        <v>132</v>
      </c>
      <c r="P1" s="61" t="s">
        <v>132</v>
      </c>
      <c r="Q1" s="62" t="s">
        <v>147</v>
      </c>
    </row>
    <row r="2" spans="1:17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64">
        <f t="shared" si="0"/>
        <v>0.79999352087322173</v>
      </c>
      <c r="G2" s="65">
        <f t="shared" ref="G2:G11" si="1">(D2)/(MAX($D$1:$D$11))</f>
        <v>0.81885948020322508</v>
      </c>
      <c r="H2" s="63">
        <f t="shared" ref="H2:H11" si="2">G2*E2/D2</f>
        <v>4.2670019419652323E-2</v>
      </c>
    </row>
    <row r="3" spans="1:17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64">
        <f t="shared" si="0"/>
        <v>0.45292540008365678</v>
      </c>
      <c r="G3" s="65">
        <f t="shared" si="1"/>
        <v>0.50452916410950799</v>
      </c>
      <c r="H3" s="63">
        <f t="shared" si="2"/>
        <v>4.938479559976678E-2</v>
      </c>
    </row>
    <row r="4" spans="1:17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64">
        <f t="shared" si="0"/>
        <v>0.25090073367718047</v>
      </c>
      <c r="G4" s="65">
        <f t="shared" si="1"/>
        <v>0.32156082606160519</v>
      </c>
      <c r="H4" s="63">
        <f t="shared" si="2"/>
        <v>5.4281508717145689E-2</v>
      </c>
    </row>
    <row r="5" spans="1:17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64">
        <f t="shared" si="0"/>
        <v>8.9229141981246096E-2</v>
      </c>
      <c r="G5" s="65">
        <f t="shared" si="1"/>
        <v>0.17513918870249529</v>
      </c>
      <c r="H5" s="63">
        <f t="shared" si="2"/>
        <v>3.368521721376011E-2</v>
      </c>
    </row>
    <row r="6" spans="1:17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64">
        <f t="shared" si="0"/>
        <v>8.4927773010345292E-2</v>
      </c>
      <c r="G6" s="65">
        <f t="shared" si="1"/>
        <v>0.17124355384792236</v>
      </c>
      <c r="H6" s="63">
        <f t="shared" si="2"/>
        <v>3.6384236593170437E-2</v>
      </c>
    </row>
    <row r="7" spans="1:17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64">
        <f t="shared" si="0"/>
        <v>5.0522133720726128E-2</v>
      </c>
      <c r="G7" s="65">
        <f t="shared" si="1"/>
        <v>0.14008328638022943</v>
      </c>
      <c r="H7" s="63">
        <f t="shared" si="2"/>
        <v>1.601161188481039E-2</v>
      </c>
    </row>
    <row r="8" spans="1:17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64">
        <f t="shared" si="0"/>
        <v>1.9509195525115968E-2</v>
      </c>
      <c r="G8" s="65">
        <f t="shared" si="1"/>
        <v>0.11199569756958304</v>
      </c>
      <c r="H8" s="63">
        <f t="shared" si="2"/>
        <v>2.1848687570198574E-3</v>
      </c>
    </row>
    <row r="9" spans="1:17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64">
        <f t="shared" si="0"/>
        <v>1.6751973702272532E-2</v>
      </c>
      <c r="G9" s="65">
        <f t="shared" si="1"/>
        <v>0.10949855549515911</v>
      </c>
      <c r="H9" s="63">
        <f t="shared" si="2"/>
        <v>1.5773311850535522E-2</v>
      </c>
    </row>
    <row r="10" spans="1:17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64">
        <f t="shared" si="0"/>
        <v>2.4492108309625404E-2</v>
      </c>
      <c r="G10" s="65">
        <f t="shared" si="1"/>
        <v>0.11650858843106307</v>
      </c>
      <c r="H10" s="63">
        <f t="shared" si="2"/>
        <v>9.8200581162828323E-4</v>
      </c>
    </row>
    <row r="11" spans="1:17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64">
        <f t="shared" si="0"/>
        <v>0</v>
      </c>
      <c r="G11" s="65">
        <f t="shared" si="1"/>
        <v>9.4326740875453244E-2</v>
      </c>
      <c r="H11" s="63">
        <f t="shared" si="2"/>
        <v>1.2260358133851115E-3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4B38A3-BD94-44F5-9474-78A6631FA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ALL DATA QUENCHED</vt:lpstr>
      <vt:lpstr>Feuil1</vt:lpstr>
      <vt:lpstr>ALL DATA</vt:lpstr>
      <vt:lpstr>Normalized Data</vt:lpstr>
      <vt:lpstr>ALL DATA QUENCHED for SciTech</vt:lpstr>
      <vt:lpstr>ALL DATA QUENCHED for CJCW2018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Tanja Pelzmann</dc:creator>
  <cp:lastModifiedBy>Tanja Pelzmann</cp:lastModifiedBy>
  <dcterms:created xsi:type="dcterms:W3CDTF">2017-10-31T20:50:29Z</dcterms:created>
  <dcterms:modified xsi:type="dcterms:W3CDTF">2018-07-19T19:11:56Z</dcterms:modified>
</cp:coreProperties>
</file>